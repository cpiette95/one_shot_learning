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otte.piette/Dropbox/Data_availability/"/>
    </mc:Choice>
  </mc:AlternateContent>
  <xr:revisionPtr revIDLastSave="0" documentId="13_ncr:1_{76BF07EB-C5D3-6B4B-A2AC-C6180E7D94C0}" xr6:coauthVersionLast="36" xr6:coauthVersionMax="36" xr10:uidLastSave="{00000000-0000-0000-0000-000000000000}"/>
  <bookViews>
    <workbookView xWindow="7220" yWindow="500" windowWidth="28620" windowHeight="17860" xr2:uid="{BBFB8CA9-B1ED-2646-8D42-734E6D674E13}"/>
  </bookViews>
  <sheets>
    <sheet name="Data_WT" sheetId="1" r:id="rId1"/>
    <sheet name="Data_CB1" sheetId="2" r:id="rId2"/>
    <sheet name="Data_D2" sheetId="3" r:id="rId3"/>
    <sheet name="Data_Canula_AM251" sheetId="4" r:id="rId4"/>
    <sheet name="Data_Canula_AP5" sheetId="5" r:id="rId5"/>
    <sheet name="Data_nSTA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6" l="1"/>
  <c r="D7" i="6"/>
  <c r="D6" i="6"/>
  <c r="D5" i="6"/>
  <c r="D4" i="6"/>
  <c r="D30" i="5" l="1"/>
  <c r="D29" i="5"/>
  <c r="D28" i="5"/>
  <c r="D27" i="5"/>
  <c r="D26" i="5"/>
  <c r="D25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AE24" i="5"/>
  <c r="AE19" i="5"/>
  <c r="AE17" i="5"/>
  <c r="AE10" i="5"/>
  <c r="AE7" i="5"/>
  <c r="AF26" i="5"/>
  <c r="AF25" i="5"/>
  <c r="AF24" i="5"/>
  <c r="AF19" i="5"/>
  <c r="AF16" i="5"/>
  <c r="AF14" i="5"/>
  <c r="AF10" i="5"/>
  <c r="AF8" i="5"/>
  <c r="AF6" i="5"/>
  <c r="I27" i="5"/>
  <c r="I18" i="5"/>
  <c r="I6" i="5"/>
  <c r="I4" i="5"/>
  <c r="T8" i="5"/>
  <c r="S27" i="5"/>
  <c r="S24" i="5"/>
  <c r="S18" i="5"/>
  <c r="S17" i="5"/>
  <c r="S15" i="5"/>
  <c r="S11" i="5"/>
  <c r="S9" i="5"/>
  <c r="S6" i="5"/>
  <c r="U28" i="5"/>
  <c r="U25" i="5"/>
  <c r="U23" i="5"/>
  <c r="U22" i="5"/>
  <c r="U17" i="5"/>
  <c r="AE53" i="4" l="1"/>
  <c r="AE52" i="4"/>
  <c r="AE50" i="4"/>
  <c r="AE47" i="4"/>
  <c r="AE45" i="4"/>
  <c r="AE44" i="4"/>
  <c r="AE43" i="4"/>
  <c r="AE42" i="4"/>
  <c r="AE41" i="4"/>
  <c r="AE36" i="4"/>
  <c r="AE34" i="4"/>
  <c r="AE33" i="4"/>
  <c r="AE32" i="4"/>
  <c r="AE30" i="4"/>
  <c r="AE23" i="4"/>
  <c r="AE21" i="4"/>
  <c r="AE17" i="4"/>
  <c r="AE15" i="4"/>
  <c r="AF55" i="4"/>
  <c r="AF45" i="4"/>
  <c r="AF41" i="4"/>
  <c r="AF29" i="4"/>
  <c r="AF24" i="4"/>
  <c r="AF23" i="4"/>
  <c r="I42" i="4"/>
  <c r="I4" i="4"/>
  <c r="T58" i="4"/>
  <c r="T57" i="4"/>
  <c r="T56" i="4"/>
  <c r="T55" i="4"/>
  <c r="T54" i="4"/>
  <c r="T52" i="4"/>
  <c r="T51" i="4"/>
  <c r="T50" i="4"/>
  <c r="T49" i="4"/>
  <c r="T48" i="4"/>
  <c r="T44" i="4"/>
  <c r="T43" i="4"/>
  <c r="T40" i="4"/>
  <c r="T39" i="4"/>
  <c r="T37" i="4"/>
  <c r="T35" i="4"/>
  <c r="T32" i="4"/>
  <c r="T31" i="4"/>
  <c r="T29" i="4"/>
  <c r="T28" i="4"/>
  <c r="S28" i="4"/>
  <c r="T26" i="4"/>
  <c r="T19" i="4"/>
  <c r="T14" i="4"/>
  <c r="S12" i="4"/>
  <c r="U61" i="4"/>
  <c r="U57" i="4"/>
  <c r="U54" i="4"/>
  <c r="U52" i="4"/>
  <c r="U51" i="4"/>
  <c r="U49" i="4"/>
  <c r="U45" i="4"/>
  <c r="U42" i="4"/>
  <c r="U33" i="4"/>
  <c r="U32" i="4"/>
  <c r="U31" i="4"/>
  <c r="U27" i="4"/>
  <c r="U25" i="4"/>
  <c r="U24" i="4"/>
  <c r="U21" i="4"/>
  <c r="U20" i="4"/>
  <c r="U14" i="4"/>
  <c r="U13" i="4"/>
  <c r="D63" i="4"/>
  <c r="D62" i="4"/>
  <c r="D61" i="4"/>
  <c r="D60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AE52" i="3" l="1"/>
  <c r="AE44" i="3"/>
  <c r="AE42" i="3"/>
  <c r="AE38" i="3"/>
  <c r="AE34" i="3"/>
  <c r="AE33" i="3"/>
  <c r="AE28" i="3"/>
  <c r="AF69" i="3"/>
  <c r="AF66" i="3"/>
  <c r="AF60" i="3"/>
  <c r="AF59" i="3"/>
  <c r="AF58" i="3"/>
  <c r="AF39" i="3"/>
  <c r="AF38" i="3"/>
  <c r="AF37" i="3"/>
  <c r="AF35" i="3"/>
  <c r="AF34" i="3"/>
  <c r="I57" i="3"/>
  <c r="I56" i="3"/>
  <c r="I49" i="3"/>
  <c r="I44" i="3"/>
  <c r="I41" i="3"/>
  <c r="T69" i="3"/>
  <c r="T68" i="3"/>
  <c r="T35" i="3"/>
  <c r="T33" i="3"/>
  <c r="S69" i="3"/>
  <c r="S68" i="3"/>
  <c r="S56" i="3"/>
  <c r="S53" i="3"/>
  <c r="S51" i="3"/>
  <c r="S49" i="3"/>
  <c r="S42" i="3"/>
  <c r="S39" i="3"/>
  <c r="S38" i="3"/>
  <c r="S37" i="3"/>
  <c r="S29" i="3"/>
  <c r="S27" i="3"/>
  <c r="S21" i="3"/>
  <c r="U66" i="3"/>
  <c r="U60" i="3"/>
  <c r="U57" i="3"/>
  <c r="U52" i="3"/>
  <c r="U46" i="3"/>
  <c r="U44" i="3"/>
  <c r="U42" i="3"/>
  <c r="U41" i="3"/>
  <c r="U37" i="3"/>
  <c r="U36" i="3"/>
  <c r="U33" i="3"/>
  <c r="U30" i="3"/>
  <c r="U22" i="3"/>
  <c r="U21" i="3"/>
  <c r="U10" i="3"/>
  <c r="U6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4" i="3"/>
  <c r="D13" i="3"/>
  <c r="D12" i="3"/>
  <c r="D11" i="3"/>
  <c r="D10" i="3"/>
  <c r="D9" i="3"/>
  <c r="D8" i="3"/>
  <c r="D7" i="3"/>
  <c r="D6" i="3"/>
  <c r="D5" i="3"/>
  <c r="D4" i="3"/>
  <c r="S35" i="2" l="1"/>
  <c r="S34" i="2"/>
  <c r="S28" i="2"/>
  <c r="S27" i="2"/>
  <c r="S24" i="2"/>
  <c r="S18" i="2"/>
  <c r="S14" i="2"/>
  <c r="S10" i="2"/>
  <c r="S7" i="2"/>
  <c r="S5" i="2"/>
  <c r="U49" i="2"/>
  <c r="AF46" i="2"/>
  <c r="AF44" i="2"/>
  <c r="AF41" i="2"/>
  <c r="U41" i="2"/>
  <c r="AF39" i="2"/>
  <c r="AE36" i="2"/>
  <c r="I36" i="2"/>
  <c r="U36" i="2"/>
  <c r="AF55" i="2"/>
  <c r="U35" i="2"/>
  <c r="AE34" i="2"/>
  <c r="I34" i="2"/>
  <c r="U34" i="2"/>
  <c r="AE54" i="2"/>
  <c r="I54" i="2"/>
  <c r="U54" i="2"/>
  <c r="D32" i="2"/>
  <c r="D31" i="2"/>
  <c r="AF29" i="2"/>
  <c r="D28" i="2"/>
  <c r="AF27" i="2"/>
  <c r="D27" i="2"/>
  <c r="AF26" i="2"/>
  <c r="D26" i="2"/>
  <c r="AF25" i="2"/>
  <c r="D25" i="2"/>
  <c r="AE24" i="2"/>
  <c r="AF24" i="2"/>
  <c r="D24" i="2"/>
  <c r="U23" i="2"/>
  <c r="D23" i="2"/>
  <c r="D22" i="2"/>
  <c r="D21" i="2"/>
  <c r="AF20" i="2"/>
  <c r="D20" i="2"/>
  <c r="AF53" i="2"/>
  <c r="I53" i="2"/>
  <c r="D53" i="2"/>
  <c r="D19" i="2"/>
  <c r="D18" i="2"/>
  <c r="D17" i="2"/>
  <c r="AF16" i="2"/>
  <c r="D16" i="2"/>
  <c r="AE15" i="2"/>
  <c r="U15" i="2"/>
  <c r="D15" i="2"/>
  <c r="AF14" i="2"/>
  <c r="U14" i="2"/>
  <c r="D14" i="2"/>
  <c r="AE13" i="2"/>
  <c r="I13" i="2"/>
  <c r="D13" i="2"/>
  <c r="D12" i="2"/>
  <c r="D11" i="2"/>
  <c r="AF10" i="2"/>
  <c r="D10" i="2"/>
  <c r="AE9" i="2"/>
  <c r="D9" i="2"/>
  <c r="AF8" i="2"/>
  <c r="D8" i="2"/>
  <c r="D7" i="2"/>
  <c r="D6" i="2"/>
  <c r="I5" i="2"/>
  <c r="D5" i="2"/>
  <c r="I4" i="2"/>
  <c r="U4" i="2"/>
  <c r="D4" i="2"/>
  <c r="BX59" i="1" l="1"/>
  <c r="BY55" i="1"/>
  <c r="BY54" i="1"/>
  <c r="BY50" i="1"/>
  <c r="BY49" i="1"/>
  <c r="BY46" i="1"/>
  <c r="BY43" i="1"/>
  <c r="BY41" i="1"/>
  <c r="BY29" i="1"/>
  <c r="BX28" i="1"/>
  <c r="BY27" i="1"/>
  <c r="BY16" i="1"/>
  <c r="BY6" i="1"/>
  <c r="BM118" i="1"/>
  <c r="BM80" i="1"/>
  <c r="BM70" i="1"/>
  <c r="AV14" i="1"/>
  <c r="AV10" i="1"/>
  <c r="AV9" i="1"/>
  <c r="AE124" i="1"/>
  <c r="AE122" i="1"/>
  <c r="AE119" i="1"/>
  <c r="AE91" i="1"/>
  <c r="AD91" i="1"/>
  <c r="AE89" i="1"/>
  <c r="AE88" i="1"/>
  <c r="AE78" i="1"/>
  <c r="AE77" i="1"/>
  <c r="AD74" i="1"/>
  <c r="AD72" i="1"/>
  <c r="AE67" i="1"/>
  <c r="AE63" i="1"/>
  <c r="AE62" i="1"/>
  <c r="AD57" i="1"/>
  <c r="AD54" i="1"/>
  <c r="AD52" i="1"/>
  <c r="AF51" i="1"/>
  <c r="AE51" i="1"/>
  <c r="AD51" i="1"/>
  <c r="AE50" i="1"/>
  <c r="AE48" i="1"/>
  <c r="AD48" i="1"/>
  <c r="AE38" i="1"/>
  <c r="AD38" i="1"/>
  <c r="AD35" i="1"/>
  <c r="AE28" i="1"/>
  <c r="AE27" i="1"/>
  <c r="AF24" i="1"/>
  <c r="AE23" i="1"/>
  <c r="AE19" i="1"/>
  <c r="AD19" i="1"/>
  <c r="AE18" i="1"/>
  <c r="AD18" i="1"/>
  <c r="AL13" i="1"/>
  <c r="I101" i="1"/>
  <c r="I90" i="1"/>
  <c r="I89" i="1"/>
  <c r="I77" i="1"/>
  <c r="I73" i="1"/>
  <c r="I68" i="1"/>
  <c r="I46" i="1"/>
  <c r="I18" i="1"/>
  <c r="I15" i="1"/>
  <c r="D132" i="1"/>
  <c r="BC131" i="1"/>
  <c r="D131" i="1"/>
  <c r="D130" i="1"/>
  <c r="D129" i="1"/>
  <c r="D128" i="1"/>
  <c r="D127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BC93" i="1"/>
  <c r="D93" i="1"/>
  <c r="BC90" i="1"/>
  <c r="BC88" i="1"/>
  <c r="BC86" i="1"/>
  <c r="D84" i="1"/>
  <c r="D83" i="1"/>
  <c r="D82" i="1"/>
  <c r="BC81" i="1"/>
  <c r="D81" i="1"/>
  <c r="D80" i="1"/>
  <c r="D79" i="1"/>
  <c r="D78" i="1"/>
  <c r="D77" i="1"/>
  <c r="D76" i="1"/>
  <c r="BC72" i="1"/>
  <c r="D70" i="1"/>
  <c r="BC69" i="1"/>
  <c r="D69" i="1"/>
  <c r="D68" i="1"/>
  <c r="D67" i="1"/>
  <c r="D66" i="1"/>
  <c r="D65" i="1"/>
  <c r="D64" i="1"/>
  <c r="D63" i="1"/>
  <c r="BC62" i="1"/>
  <c r="D62" i="1"/>
  <c r="D60" i="1"/>
  <c r="D59" i="1"/>
  <c r="D58" i="1"/>
  <c r="D57" i="1"/>
  <c r="D56" i="1"/>
  <c r="D55" i="1"/>
  <c r="BC54" i="1"/>
  <c r="D54" i="1"/>
  <c r="D53" i="1"/>
  <c r="D52" i="1"/>
  <c r="D51" i="1"/>
  <c r="BC50" i="1"/>
  <c r="D50" i="1"/>
  <c r="D49" i="1"/>
  <c r="D48" i="1"/>
  <c r="BC47" i="1"/>
  <c r="D47" i="1"/>
  <c r="D46" i="1"/>
  <c r="D45" i="1"/>
  <c r="D38" i="1"/>
  <c r="D37" i="1"/>
  <c r="BC36" i="1"/>
  <c r="D36" i="1"/>
  <c r="BC35" i="1"/>
  <c r="D35" i="1"/>
  <c r="BC30" i="1"/>
  <c r="D30" i="1"/>
  <c r="D29" i="1"/>
  <c r="D26" i="1"/>
  <c r="D25" i="1"/>
  <c r="D24" i="1"/>
  <c r="D23" i="1"/>
  <c r="D20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<sst xmlns="http://schemas.openxmlformats.org/spreadsheetml/2006/main" count="3107" uniqueCount="1425">
  <si>
    <t>Mouse name</t>
  </si>
  <si>
    <t>Sex</t>
  </si>
  <si>
    <t>Strain</t>
  </si>
  <si>
    <t>Age</t>
  </si>
  <si>
    <t>DOB</t>
  </si>
  <si>
    <t>DOT</t>
  </si>
  <si>
    <t>Latency before contact</t>
  </si>
  <si>
    <t>Sniffings</t>
  </si>
  <si>
    <t xml:space="preserve">Detours </t>
  </si>
  <si>
    <t>Demitours</t>
  </si>
  <si>
    <t>Aside</t>
  </si>
  <si>
    <t>Speed before contact</t>
  </si>
  <si>
    <t>Contact activity</t>
  </si>
  <si>
    <t>Contact gaze</t>
  </si>
  <si>
    <t>Contact zone 1</t>
  </si>
  <si>
    <t>Condition</t>
  </si>
  <si>
    <t>tetrode_EIB</t>
  </si>
  <si>
    <t>F</t>
  </si>
  <si>
    <t>WT CR</t>
  </si>
  <si>
    <t>0.190450597914126</t>
  </si>
  <si>
    <t>V3087</t>
  </si>
  <si>
    <t>0.213993357758004</t>
  </si>
  <si>
    <t>V3173</t>
  </si>
  <si>
    <t>0.216521214502549</t>
  </si>
  <si>
    <t>V3171</t>
  </si>
  <si>
    <t>NaN</t>
  </si>
  <si>
    <t>0.581792983495900</t>
  </si>
  <si>
    <t>V5668</t>
  </si>
  <si>
    <t>-0.377583099102920</t>
  </si>
  <si>
    <t>V5996</t>
  </si>
  <si>
    <t>-0.00145242122424001</t>
  </si>
  <si>
    <t>V5998</t>
  </si>
  <si>
    <t>-0.300502163630098</t>
  </si>
  <si>
    <t>six_channels_old</t>
  </si>
  <si>
    <t>WT</t>
  </si>
  <si>
    <t>0.439949647956099</t>
  </si>
  <si>
    <t>V5632</t>
  </si>
  <si>
    <t>0.415786390894188</t>
  </si>
  <si>
    <t>bleu (avec fil)</t>
  </si>
  <si>
    <t>0.243696021970796</t>
  </si>
  <si>
    <t>V3667</t>
  </si>
  <si>
    <t>M</t>
  </si>
  <si>
    <t>0.448743842451922</t>
  </si>
  <si>
    <t>V3669</t>
  </si>
  <si>
    <t>-0.316881110157375</t>
  </si>
  <si>
    <t>V4105</t>
  </si>
  <si>
    <t>-0.576997458192955</t>
  </si>
  <si>
    <t>V4101</t>
  </si>
  <si>
    <t>-0.495883564920484</t>
  </si>
  <si>
    <t>V4097</t>
  </si>
  <si>
    <t>-0.575706041967444</t>
  </si>
  <si>
    <t>V4291 (avec fil!)</t>
  </si>
  <si>
    <t>0.236930349311609</t>
  </si>
  <si>
    <t>V3809</t>
  </si>
  <si>
    <t>-0.431010368499342</t>
  </si>
  <si>
    <t>V3810</t>
  </si>
  <si>
    <t>-0.0173197805824386</t>
  </si>
  <si>
    <t>V5995</t>
  </si>
  <si>
    <t>0.282149580754338</t>
  </si>
  <si>
    <t>V3092</t>
  </si>
  <si>
    <t>V3172</t>
  </si>
  <si>
    <t>-0.710667461278677</t>
  </si>
  <si>
    <t>V4216</t>
  </si>
  <si>
    <t>-0.615064853036488</t>
  </si>
  <si>
    <t>V3807</t>
  </si>
  <si>
    <t>0.301363245087303</t>
  </si>
  <si>
    <t>V3808</t>
  </si>
  <si>
    <t>queue</t>
  </si>
  <si>
    <t>0.300629830403221</t>
  </si>
  <si>
    <t>V0745</t>
  </si>
  <si>
    <t>cfos-YFP</t>
  </si>
  <si>
    <t>0.0376243795311316</t>
  </si>
  <si>
    <t>V0744</t>
  </si>
  <si>
    <t>0.433149395519122</t>
  </si>
  <si>
    <t>V0887</t>
  </si>
  <si>
    <t>-0.257755875316632</t>
  </si>
  <si>
    <t>V1162</t>
  </si>
  <si>
    <t>D2-S2-ctrl</t>
  </si>
  <si>
    <t>0.239513277480179</t>
  </si>
  <si>
    <t>V1159</t>
  </si>
  <si>
    <t>-0.637540014720244</t>
  </si>
  <si>
    <t>V1160</t>
  </si>
  <si>
    <t>0.248452957898197</t>
  </si>
  <si>
    <t>V5135</t>
  </si>
  <si>
    <t>0.456086138418688</t>
  </si>
  <si>
    <t>rouge</t>
  </si>
  <si>
    <t>-0.0664636368018481</t>
  </si>
  <si>
    <t>V6729</t>
  </si>
  <si>
    <t>0.117087674635002</t>
  </si>
  <si>
    <t>V1163</t>
  </si>
  <si>
    <t>D2-LoxP</t>
  </si>
  <si>
    <t>-0.636754880684898</t>
  </si>
  <si>
    <t>V5148</t>
  </si>
  <si>
    <t>0.478520306575423</t>
  </si>
  <si>
    <t>V5400</t>
  </si>
  <si>
    <t>-0.637338539469621</t>
  </si>
  <si>
    <t>V1059</t>
  </si>
  <si>
    <t>0.404108485253103</t>
  </si>
  <si>
    <t>V1161</t>
  </si>
  <si>
    <t>0.184512125690669</t>
  </si>
  <si>
    <t>V1260</t>
  </si>
  <si>
    <t>0.0377825639007519</t>
  </si>
  <si>
    <t>V0889</t>
  </si>
  <si>
    <t>-0.555425523383969</t>
  </si>
  <si>
    <t>V5145</t>
  </si>
  <si>
    <t>-0.301015061510434</t>
  </si>
  <si>
    <t>V0762</t>
  </si>
  <si>
    <t>D1D2GFP</t>
  </si>
  <si>
    <t>0.437523567264506</t>
  </si>
  <si>
    <t>V5580</t>
  </si>
  <si>
    <t>0.414279200910132</t>
  </si>
  <si>
    <t>V1261</t>
  </si>
  <si>
    <t>V0891</t>
  </si>
  <si>
    <t>-0.516883959301197</t>
  </si>
  <si>
    <t>V5149 - pas bcp de neurones</t>
  </si>
  <si>
    <t>0.375641789808672</t>
  </si>
  <si>
    <t>V1252</t>
  </si>
  <si>
    <t>0.180915295192457</t>
  </si>
  <si>
    <t>V0736</t>
  </si>
  <si>
    <t>-0.541963498817087</t>
  </si>
  <si>
    <t>V0764</t>
  </si>
  <si>
    <t>0.268391535723307</t>
  </si>
  <si>
    <t>V0883</t>
  </si>
  <si>
    <t>0.449891482944819</t>
  </si>
  <si>
    <t>V0886</t>
  </si>
  <si>
    <t>0.455088828229100</t>
  </si>
  <si>
    <t>V4102</t>
  </si>
  <si>
    <t>0.0549002627078160</t>
  </si>
  <si>
    <t>V4107</t>
  </si>
  <si>
    <t>-0.570605887977357</t>
  </si>
  <si>
    <t>V7034</t>
  </si>
  <si>
    <t>0.420431144510241</t>
  </si>
  <si>
    <t>0.196804802159346</t>
  </si>
  <si>
    <t>V5357</t>
  </si>
  <si>
    <t>D1D2TOM</t>
  </si>
  <si>
    <t>0.306926558628127</t>
  </si>
  <si>
    <t>V5358</t>
  </si>
  <si>
    <t>-0.351882940522545</t>
  </si>
  <si>
    <t>V5359</t>
  </si>
  <si>
    <t>V5405</t>
  </si>
  <si>
    <t>0.170849346297328</t>
  </si>
  <si>
    <t>V5453</t>
  </si>
  <si>
    <t>-0.0222617899990970</t>
  </si>
  <si>
    <t>V5407</t>
  </si>
  <si>
    <t>-0.237397696500147</t>
  </si>
  <si>
    <t>V5529</t>
  </si>
  <si>
    <t>0.0611994163778795</t>
  </si>
  <si>
    <t>V5530</t>
  </si>
  <si>
    <t>0.279013230504886</t>
  </si>
  <si>
    <t>V5531</t>
  </si>
  <si>
    <t>0.329763175194978</t>
  </si>
  <si>
    <t>-0.567651065289313</t>
  </si>
  <si>
    <t>V5655</t>
  </si>
  <si>
    <t>0.423427610436000</t>
  </si>
  <si>
    <t>V6723</t>
  </si>
  <si>
    <t>-0.272907966713629</t>
  </si>
  <si>
    <t>male0</t>
  </si>
  <si>
    <t>0.160613127574581</t>
  </si>
  <si>
    <t>V5415</t>
  </si>
  <si>
    <t>0.245788880072104</t>
  </si>
  <si>
    <t>V5416</t>
  </si>
  <si>
    <t>0.0342737880310560</t>
  </si>
  <si>
    <t>V5406</t>
  </si>
  <si>
    <t>-0.511840943965244</t>
  </si>
  <si>
    <t>V5452</t>
  </si>
  <si>
    <t>-0.554354772830291</t>
  </si>
  <si>
    <t>V5502</t>
  </si>
  <si>
    <t>0.363555093830966</t>
  </si>
  <si>
    <t>V5505</t>
  </si>
  <si>
    <t>-0.0810913622753601</t>
  </si>
  <si>
    <t>V5534</t>
  </si>
  <si>
    <t>0.339482978145645</t>
  </si>
  <si>
    <t>V5540</t>
  </si>
  <si>
    <t>0.418253222281589</t>
  </si>
  <si>
    <t>V6688</t>
  </si>
  <si>
    <t>V5535</t>
  </si>
  <si>
    <t>-0.178946473191757</t>
  </si>
  <si>
    <t>V5541</t>
  </si>
  <si>
    <t>0.219651967647078</t>
  </si>
  <si>
    <t>male1</t>
  </si>
  <si>
    <t>-0.190331991000476</t>
  </si>
  <si>
    <t>male2</t>
  </si>
  <si>
    <t>0.0635563226492082</t>
  </si>
  <si>
    <t>feme1</t>
  </si>
  <si>
    <t>-0.634199439801589</t>
  </si>
  <si>
    <t>feme4</t>
  </si>
  <si>
    <t>0.104392234864853</t>
  </si>
  <si>
    <t>feme5</t>
  </si>
  <si>
    <t>0.246360315894002</t>
  </si>
  <si>
    <t>V4319</t>
  </si>
  <si>
    <t>0.186872968903543</t>
  </si>
  <si>
    <t>V4335</t>
  </si>
  <si>
    <t>0.0871788042602439</t>
  </si>
  <si>
    <t>V4336</t>
  </si>
  <si>
    <t>-0.568137413755593</t>
  </si>
  <si>
    <t>V4337</t>
  </si>
  <si>
    <t>0.0904482096328217</t>
  </si>
  <si>
    <t>V4338</t>
  </si>
  <si>
    <t>0.0166771489443954</t>
  </si>
  <si>
    <t>V5997</t>
  </si>
  <si>
    <t>0.133507458000046</t>
  </si>
  <si>
    <t>V5999</t>
  </si>
  <si>
    <t>-0.195927855569678</t>
  </si>
  <si>
    <t>V6000</t>
  </si>
  <si>
    <t>0.0425009355526066</t>
  </si>
  <si>
    <t>V4454</t>
  </si>
  <si>
    <t>-0.507052909503148</t>
  </si>
  <si>
    <t>V4456</t>
  </si>
  <si>
    <t>0.397256658006351</t>
  </si>
  <si>
    <t>V4457</t>
  </si>
  <si>
    <t>-0.602507104062782</t>
  </si>
  <si>
    <t>V4463</t>
  </si>
  <si>
    <t>0.119889216143175</t>
  </si>
  <si>
    <t>V4317</t>
  </si>
  <si>
    <t>-0.321304455838941</t>
  </si>
  <si>
    <t>V4318</t>
  </si>
  <si>
    <t>0.258974167232601</t>
  </si>
  <si>
    <t>V4320</t>
  </si>
  <si>
    <t>-0.353288886713344</t>
  </si>
  <si>
    <t>V4321</t>
  </si>
  <si>
    <t>0.265622024628471</t>
  </si>
  <si>
    <t>V4322</t>
  </si>
  <si>
    <t>-0.332883589355879</t>
  </si>
  <si>
    <t>V4331</t>
  </si>
  <si>
    <t>-0.595903047270022</t>
  </si>
  <si>
    <t>V4334</t>
  </si>
  <si>
    <t>0.0350586075294689</t>
  </si>
  <si>
    <t>V4453</t>
  </si>
  <si>
    <t>-0.663929032019919</t>
  </si>
  <si>
    <t>V4459</t>
  </si>
  <si>
    <t>-0.276572064401499</t>
  </si>
  <si>
    <t>V4460</t>
  </si>
  <si>
    <t>0.162650323465416</t>
  </si>
  <si>
    <t>V4466</t>
  </si>
  <si>
    <t>0.189081526756973</t>
  </si>
  <si>
    <t>V4467</t>
  </si>
  <si>
    <t>0.224212306206561</t>
  </si>
  <si>
    <t>V4468</t>
  </si>
  <si>
    <t>0.0570735269270675</t>
  </si>
  <si>
    <t>V4329</t>
  </si>
  <si>
    <t>0.341680793226803</t>
  </si>
  <si>
    <t>V4455</t>
  </si>
  <si>
    <t>V4458</t>
  </si>
  <si>
    <t>-0.489680765101600</t>
  </si>
  <si>
    <t>V4464</t>
  </si>
  <si>
    <t>0.137096687899409</t>
  </si>
  <si>
    <t>V4465</t>
  </si>
  <si>
    <t>-0.538334059165599</t>
  </si>
  <si>
    <t>V4461</t>
  </si>
  <si>
    <t>-0.180034887461966</t>
  </si>
  <si>
    <t>V4462</t>
  </si>
  <si>
    <t>-0.659256457022795</t>
  </si>
  <si>
    <t>V4332</t>
  </si>
  <si>
    <t>-0.604815498622413</t>
  </si>
  <si>
    <t>Small arena (patch)</t>
  </si>
  <si>
    <t>V031</t>
  </si>
  <si>
    <t>contact frames</t>
  </si>
  <si>
    <t>0.122155001851001</t>
  </si>
  <si>
    <t>V036</t>
  </si>
  <si>
    <t>0.462746061848679</t>
  </si>
  <si>
    <t>V0299</t>
  </si>
  <si>
    <t>0.285204081237611</t>
  </si>
  <si>
    <t>V3968</t>
  </si>
  <si>
    <t>0.243907323147561</t>
  </si>
  <si>
    <t>V3969</t>
  </si>
  <si>
    <t>-0.0308487123898825</t>
  </si>
  <si>
    <t>V0297</t>
  </si>
  <si>
    <t>0.336560523252782</t>
  </si>
  <si>
    <t>Familiarization</t>
  </si>
  <si>
    <t># Crosses before contact</t>
  </si>
  <si>
    <t>PCA parameters</t>
  </si>
  <si>
    <t>Retrieval</t>
  </si>
  <si>
    <t>Avoidance index</t>
  </si>
  <si>
    <t>7.40114943666471</t>
  </si>
  <si>
    <t>2.82200818513907</t>
  </si>
  <si>
    <t>36.0094451003542</t>
  </si>
  <si>
    <t>56.5525383707202</t>
  </si>
  <si>
    <t>53.3648170011806</t>
  </si>
  <si>
    <t>40.3761061946903</t>
  </si>
  <si>
    <t>31.0126582278481</t>
  </si>
  <si>
    <t>5.76519511303122</t>
  </si>
  <si>
    <t>0.997183932247000</t>
  </si>
  <si>
    <t>12.8525929045169</t>
  </si>
  <si>
    <t>24.2648090180103</t>
  </si>
  <si>
    <t>31.1342983290452</t>
  </si>
  <si>
    <t>3.76735975609305</t>
  </si>
  <si>
    <t>18.3935799856308</t>
  </si>
  <si>
    <t>30.2496827474530</t>
  </si>
  <si>
    <t>36.3439411764271</t>
  </si>
  <si>
    <t>0.664798349923346</t>
  </si>
  <si>
    <t>6.98038267419513</t>
  </si>
  <si>
    <t>17.3955568229942</t>
  </si>
  <si>
    <t>30.2483249215122</t>
  </si>
  <si>
    <t>3.32425709427791</t>
  </si>
  <si>
    <t>17.0645197506266</t>
  </si>
  <si>
    <t>26.3724396146048</t>
  </si>
  <si>
    <t>8.85093167701863</t>
  </si>
  <si>
    <t>13.0434782608696</t>
  </si>
  <si>
    <t>21.4285714285714</t>
  </si>
  <si>
    <t>27.4844720496894</t>
  </si>
  <si>
    <t>3.10901703772030</t>
  </si>
  <si>
    <t>9.43808743593663</t>
  </si>
  <si>
    <t>21.5410466184907</t>
  </si>
  <si>
    <t>28.0921896622585</t>
  </si>
  <si>
    <t>2.43771403611085</t>
  </si>
  <si>
    <t>6.86992137449421</t>
  </si>
  <si>
    <t>10.5264924286605</t>
  </si>
  <si>
    <t>6.66173875615261</t>
  </si>
  <si>
    <t>17.7646366830736</t>
  </si>
  <si>
    <t>20.9844770818807</t>
  </si>
  <si>
    <t>23.7602015636110</t>
  </si>
  <si>
    <t>3.76715936174539</t>
  </si>
  <si>
    <t>7.75591633300522</t>
  </si>
  <si>
    <t>10.3042888424212</t>
  </si>
  <si>
    <t>0.111031081345714</t>
  </si>
  <si>
    <t>4.21918109113713</t>
  </si>
  <si>
    <t>13.4347608428314</t>
  </si>
  <si>
    <t>0.886434273718250</t>
  </si>
  <si>
    <t>2.77010710536953</t>
  </si>
  <si>
    <t>11.4128412741225</t>
  </si>
  <si>
    <t>5.44055513157954</t>
  </si>
  <si>
    <t>18.4312684049429</t>
  </si>
  <si>
    <t>22.8725379001099</t>
  </si>
  <si>
    <t>25.5372995972101</t>
  </si>
  <si>
    <t>0.444116537813380</t>
  </si>
  <si>
    <t>5.10734018485387</t>
  </si>
  <si>
    <t>15.8771662268283</t>
  </si>
  <si>
    <t>23.9822930419225</t>
  </si>
  <si>
    <t>5.42936414307582</t>
  </si>
  <si>
    <t>12.4099751841733</t>
  </si>
  <si>
    <t>15.6232723300753</t>
  </si>
  <si>
    <t>0.777293718636362</t>
  </si>
  <si>
    <t>5.88522386967531</t>
  </si>
  <si>
    <t>8.32814698538959</t>
  </si>
  <si>
    <t>12.5477414579870</t>
  </si>
  <si>
    <t>2.88691174316635</t>
  </si>
  <si>
    <t>10.2152261681271</t>
  </si>
  <si>
    <t>21.2076978055682</t>
  </si>
  <si>
    <t>26.8704862248560</t>
  </si>
  <si>
    <t>3.32392452445489</t>
  </si>
  <si>
    <t>7.42343143794926</t>
  </si>
  <si>
    <t>12.2985207404831</t>
  </si>
  <si>
    <t>12.9633056453741</t>
  </si>
  <si>
    <t>0.997226608052823</t>
  </si>
  <si>
    <t>8.31022173377352</t>
  </si>
  <si>
    <t>16.3988375546464</t>
  </si>
  <si>
    <t>19.8337292046061</t>
  </si>
  <si>
    <t>2.76995396244881</t>
  </si>
  <si>
    <t>9.30704531382802</t>
  </si>
  <si>
    <t>16.7305219331908</t>
  </si>
  <si>
    <t>22.4920261750844</t>
  </si>
  <si>
    <t>1.55120736134713</t>
  </si>
  <si>
    <t>12.6312599423980</t>
  </si>
  <si>
    <t>18.2820867587340</t>
  </si>
  <si>
    <t>22.0493046362913</t>
  </si>
  <si>
    <t>2.21600587984104</t>
  </si>
  <si>
    <t>19.2792511546171</t>
  </si>
  <si>
    <t>64.2641705153902</t>
  </si>
  <si>
    <t>3.55311401856872</t>
  </si>
  <si>
    <t>10.1041679903048</t>
  </si>
  <si>
    <t>17.5435004666830</t>
  </si>
  <si>
    <t>4.21915106917968</t>
  </si>
  <si>
    <t>31.9767238927302</t>
  </si>
  <si>
    <t>46.8547829261533</t>
  </si>
  <si>
    <t>53.6276306950996</t>
  </si>
  <si>
    <t>10.4154224362407</t>
  </si>
  <si>
    <t>24.0441134964281</t>
  </si>
  <si>
    <t>27.9221963184326</t>
  </si>
  <si>
    <t>0.664801047424807</t>
  </si>
  <si>
    <t>20.8304328193106</t>
  </si>
  <si>
    <t>24.7084389292887</t>
  </si>
  <si>
    <t>31.6888499272491</t>
  </si>
  <si>
    <t>1.44045258961934</t>
  </si>
  <si>
    <t>11.7452288076654</t>
  </si>
  <si>
    <t>17.3962351207874</t>
  </si>
  <si>
    <t>20.6095524360921</t>
  </si>
  <si>
    <t>1.55128505970847</t>
  </si>
  <si>
    <t>5.20788555759272</t>
  </si>
  <si>
    <t>7.86723137423581</t>
  </si>
  <si>
    <t>11.3022197207331</t>
  </si>
  <si>
    <t>1.66553976223312</t>
  </si>
  <si>
    <t>8.54977077946334</t>
  </si>
  <si>
    <t>9.21598668435659</t>
  </si>
  <si>
    <t>0.888239000886989</t>
  </si>
  <si>
    <t>7.21694188220678</t>
  </si>
  <si>
    <t>12.9904953879722</t>
  </si>
  <si>
    <t>14.9890331399679</t>
  </si>
  <si>
    <t>2.88088234731580</t>
  </si>
  <si>
    <t>4.76453618979151</t>
  </si>
  <si>
    <t>6.75899319947168</t>
  </si>
  <si>
    <t>6.20509184742828</t>
  </si>
  <si>
    <t>20.6097693503868</t>
  </si>
  <si>
    <t>32.7983426221209</t>
  </si>
  <si>
    <t>36.8981354498860</t>
  </si>
  <si>
    <t>0.664785832117131</t>
  </si>
  <si>
    <t>1.88355985766520</t>
  </si>
  <si>
    <t>3.10233388321328</t>
  </si>
  <si>
    <t>35.7876372956389</t>
  </si>
  <si>
    <t>1.22132086694780</t>
  </si>
  <si>
    <t>20.0962797197774</t>
  </si>
  <si>
    <t>28.4234674489669</t>
  </si>
  <si>
    <t>31.0881675223076</t>
  </si>
  <si>
    <t>1.88751375282540</t>
  </si>
  <si>
    <t>6.43975280375725</t>
  </si>
  <si>
    <t>7.99417589431934</t>
  </si>
  <si>
    <t>10.1037500886536</t>
  </si>
  <si>
    <t>0.111035659633414</t>
  </si>
  <si>
    <t>3.10899846973560</t>
  </si>
  <si>
    <t>10.6594233248078</t>
  </si>
  <si>
    <t>17.5436342220795</t>
  </si>
  <si>
    <t>4.09957630902042</t>
  </si>
  <si>
    <t>10.1935410926994</t>
  </si>
  <si>
    <t>12.5203276464678</t>
  </si>
  <si>
    <t>11.5234409854366</t>
  </si>
  <si>
    <t>17.0635568438196</t>
  </si>
  <si>
    <t>28.8086024635915</t>
  </si>
  <si>
    <t>2.54847672359189</t>
  </si>
  <si>
    <t>4.43213343233372</t>
  </si>
  <si>
    <t>5.98338013365052</t>
  </si>
  <si>
    <t>0.886479518914493</t>
  </si>
  <si>
    <t>13.2971927837174</t>
  </si>
  <si>
    <t>19.6133593559832</t>
  </si>
  <si>
    <t>22.6052277323196</t>
  </si>
  <si>
    <t>10.7700422604402</t>
  </si>
  <si>
    <t>18.6532690696284</t>
  </si>
  <si>
    <t>24.4268999721325</t>
  </si>
  <si>
    <t>29.0896591002631</t>
  </si>
  <si>
    <t>34.3080330609974</t>
  </si>
  <si>
    <t>36.7506761915538</t>
  </si>
  <si>
    <t>41.0808162866311</t>
  </si>
  <si>
    <t>0.777210063949709</t>
  </si>
  <si>
    <t>10.3257908496176</t>
  </si>
  <si>
    <t>24.3155720007123</t>
  </si>
  <si>
    <t>38.8605031974854</t>
  </si>
  <si>
    <t>0.333091762686604</t>
  </si>
  <si>
    <t>11.1030587562201</t>
  </si>
  <si>
    <t>21.3178728119427</t>
  </si>
  <si>
    <t>23.8715763258733</t>
  </si>
  <si>
    <t>9.32711866991293</t>
  </si>
  <si>
    <t>15.2120864021199</t>
  </si>
  <si>
    <t>28.8696530259210</t>
  </si>
  <si>
    <t>50.5218927953617</t>
  </si>
  <si>
    <t>0.999279986058426</t>
  </si>
  <si>
    <t>3.44196439642347</t>
  </si>
  <si>
    <t>5.21846214941622</t>
  </si>
  <si>
    <t>7.77217766934331</t>
  </si>
  <si>
    <t>5.44055340330969</t>
  </si>
  <si>
    <t>9.88182148764412</t>
  </si>
  <si>
    <t>17.4319772310127</t>
  </si>
  <si>
    <t>25.0931646764896</t>
  </si>
  <si>
    <t>2.10967552245775</t>
  </si>
  <si>
    <t>11.9918398118651</t>
  </si>
  <si>
    <t>17.5436175025434</t>
  </si>
  <si>
    <t>22.6512529779674</t>
  </si>
  <si>
    <t>2.88676263098738</t>
  </si>
  <si>
    <t>11.1029331961053</t>
  </si>
  <si>
    <t>25.3146876871201</t>
  </si>
  <si>
    <t>28.5345383139906</t>
  </si>
  <si>
    <t>1.33235892456631</t>
  </si>
  <si>
    <t>3.88604686331842</t>
  </si>
  <si>
    <t>7.99415354739789</t>
  </si>
  <si>
    <t>3.55298151073573</t>
  </si>
  <si>
    <t>9.10451512126032</t>
  </si>
  <si>
    <t>47.9652503949324</t>
  </si>
  <si>
    <t>4.33045648321831</t>
  </si>
  <si>
    <t>9.21609969505435</t>
  </si>
  <si>
    <t>10.9926972266311</t>
  </si>
  <si>
    <t>18.5429315962347</t>
  </si>
  <si>
    <t>20.0974288557993</t>
  </si>
  <si>
    <t>21.0967485226622</t>
  </si>
  <si>
    <t>22.0960681895252</t>
  </si>
  <si>
    <t>3.77534795248309</t>
  </si>
  <si>
    <t>14.7682728729486</t>
  </si>
  <si>
    <t>34.8664487376380</t>
  </si>
  <si>
    <t>39.0859552727661</t>
  </si>
  <si>
    <t>6.77317824998084</t>
  </si>
  <si>
    <t>8.21664246718987</t>
  </si>
  <si>
    <t>8.99389243030243</t>
  </si>
  <si>
    <t>1.99857673276369</t>
  </si>
  <si>
    <t>6.77295448325473</t>
  </si>
  <si>
    <t>8.88256325672752</t>
  </si>
  <si>
    <t>10.8811399894912</t>
  </si>
  <si>
    <t>2.10955435875096</t>
  </si>
  <si>
    <t>4.77425460138374</t>
  </si>
  <si>
    <t>7.77204237434563</t>
  </si>
  <si>
    <t>3.66431831813515</t>
  </si>
  <si>
    <t>4.99679770654793</t>
  </si>
  <si>
    <t>5.77407734978872</t>
  </si>
  <si>
    <t>3.99727815951739</t>
  </si>
  <si>
    <t>10.6594084253797</t>
  </si>
  <si>
    <t>14.1015090627419</t>
  </si>
  <si>
    <t>1.33236146398695</t>
  </si>
  <si>
    <t>15.1000965918521</t>
  </si>
  <si>
    <t>37.6392113576313</t>
  </si>
  <si>
    <t>46.7436813615421</t>
  </si>
  <si>
    <t>5.10735413737597</t>
  </si>
  <si>
    <t>15.8772096009731</t>
  </si>
  <si>
    <t>25.5367706868799</t>
  </si>
  <si>
    <t>1.33233835561593</t>
  </si>
  <si>
    <t>11.1028196301327</t>
  </si>
  <si>
    <t>13.1013271635566</t>
  </si>
  <si>
    <t>15.6549756784872</t>
  </si>
  <si>
    <t>1.11029212045575</t>
  </si>
  <si>
    <t>3.33087636136725</t>
  </si>
  <si>
    <t>4.21911005773185</t>
  </si>
  <si>
    <t>0.111041550589797</t>
  </si>
  <si>
    <t>5.99624373184904</t>
  </si>
  <si>
    <t>9.43853180013275</t>
  </si>
  <si>
    <t>8.66077649903551</t>
  </si>
  <si>
    <t>11.3256308064310</t>
  </si>
  <si>
    <t>14.2125563061095</t>
  </si>
  <si>
    <t>7.32899985639798</t>
  </si>
  <si>
    <t>17.2120451172983</t>
  </si>
  <si>
    <t>20.8765450454973</t>
  </si>
  <si>
    <t>23.3195449976299</t>
  </si>
  <si>
    <t>6.10656515091671</t>
  </si>
  <si>
    <t>15.9880978496728</t>
  </si>
  <si>
    <t>19.3189515683547</t>
  </si>
  <si>
    <t>27.5350574077699</t>
  </si>
  <si>
    <t>1.33234783587630</t>
  </si>
  <si>
    <t>8.10511600158083</t>
  </si>
  <si>
    <t>16.8764059210998</t>
  </si>
  <si>
    <t>21.5396233466669</t>
  </si>
  <si>
    <t>3.88602414978768</t>
  </si>
  <si>
    <t>14.6558625077707</t>
  </si>
  <si>
    <t>19.7632085332059</t>
  </si>
  <si>
    <t>23.7602619444161</t>
  </si>
  <si>
    <t>7.21723625464061</t>
  </si>
  <si>
    <t>14.2124037014461</t>
  </si>
  <si>
    <t>19.7641238973235</t>
  </si>
  <si>
    <t>31.4227363086660</t>
  </si>
  <si>
    <t>2.44267571976307</t>
  </si>
  <si>
    <t>9.32658002091356</t>
  </si>
  <si>
    <t>14.7670850331131</t>
  </si>
  <si>
    <t>3.55300430950558</t>
  </si>
  <si>
    <t>12.5465464679416</t>
  </si>
  <si>
    <t>23.5386535504744</t>
  </si>
  <si>
    <t>34.1976664789912</t>
  </si>
  <si>
    <t>7.43901817392713</t>
  </si>
  <si>
    <t>14.4339158598586</t>
  </si>
  <si>
    <t>17.2096689098314</t>
  </si>
  <si>
    <t>% time near scotch &lt; 4cm in first 30 sec</t>
  </si>
  <si>
    <t>% time near scotch &lt; 6cm in first 30 sec</t>
  </si>
  <si>
    <t>% time near scotch &lt; 8cm in first 30 sec</t>
  </si>
  <si>
    <t>% time near scotch &lt; 10cm in first 30 sec</t>
  </si>
  <si>
    <t>% time spent in half arena where tape, in 2.5 first meters traveled</t>
  </si>
  <si>
    <t>% time spent immobile in half arena where tape, in 2.5 first meters traveled</t>
  </si>
  <si>
    <t>% time spent immobile in other half, in 2.5 first meters traveled</t>
  </si>
  <si>
    <t># central crosses, in 2.5 first meters traveled</t>
  </si>
  <si>
    <t>% time spent still, in 2.5 first meters traveled</t>
  </si>
  <si>
    <t>% time spent near the walls, in 2.5 first meters traveled</t>
  </si>
  <si>
    <t># rearings during contact</t>
  </si>
  <si>
    <t>time (sec) of grooming during contact</t>
  </si>
  <si>
    <t>removal energy</t>
  </si>
  <si>
    <t>surprise energy</t>
  </si>
  <si>
    <t>time-to-remove</t>
  </si>
  <si>
    <t xml:space="preserve">latency before realizing contact </t>
  </si>
  <si>
    <t>duration in presence of tape</t>
  </si>
  <si>
    <t>duration of contact</t>
  </si>
  <si>
    <t>speed immediately after contact (cm/s)</t>
  </si>
  <si>
    <t>% time spent immobile in other half until contact</t>
  </si>
  <si>
    <t>% time spent immobile in scoch half until contact</t>
  </si>
  <si>
    <t>% time spent in scoch half until contact</t>
  </si>
  <si>
    <t>% time spent still until contact</t>
  </si>
  <si>
    <t>% time spent near the walls, until contact</t>
  </si>
  <si>
    <t>distance run before contact (m)</t>
  </si>
  <si>
    <t>speed at entry in the arena (cm/s)</t>
  </si>
  <si>
    <t>latency to first passage near the tape</t>
  </si>
  <si>
    <t>latency before first active removal</t>
  </si>
  <si>
    <t>distance run during contact (m)</t>
  </si>
  <si>
    <t>max speed during contact (cm/s)</t>
  </si>
  <si>
    <t>mean speed during contact (cm/s)</t>
  </si>
  <si>
    <t>% time spent immobile during contact</t>
  </si>
  <si>
    <t># detours 1min post-removal</t>
  </si>
  <si>
    <t># sniffings 1min post-removal</t>
  </si>
  <si>
    <t># rearing 1min post-removal</t>
  </si>
  <si>
    <t>time spent grooming (s), 1min post-removal</t>
  </si>
  <si>
    <t># when contact with non-sticky tape post-removal</t>
  </si>
  <si>
    <t># attempts at removing the tape</t>
  </si>
  <si>
    <t># attempts &lt; 0.2s at removing the tape</t>
  </si>
  <si>
    <t># attempts &gt; 0.2s &amp; &lt;0.5s at removing the tape</t>
  </si>
  <si>
    <t># attempts &gt; 0.5s &amp; &lt; 1s at removing the tape</t>
  </si>
  <si>
    <t># attempts &gt; 1s &amp; &lt;5s at removing the tape</t>
  </si>
  <si>
    <t># attempts &gt; 5s at removing the tape</t>
  </si>
  <si>
    <t>NB</t>
  </si>
  <si>
    <t>opto-LFP</t>
  </si>
  <si>
    <t>opto-LFP (no response)</t>
  </si>
  <si>
    <t>with extra-tasks</t>
  </si>
  <si>
    <t>1 month interval</t>
  </si>
  <si>
    <t>1 week interval</t>
  </si>
  <si>
    <t>72 h interval</t>
  </si>
  <si>
    <t>24h interval</t>
  </si>
  <si>
    <t>Sexe</t>
  </si>
  <si>
    <t>V6658</t>
  </si>
  <si>
    <t>0.360973384952319</t>
  </si>
  <si>
    <t>-0.263637390499118</t>
  </si>
  <si>
    <t>0.121300804739993</t>
  </si>
  <si>
    <t>V6930</t>
  </si>
  <si>
    <t>-0.596516364761894</t>
  </si>
  <si>
    <t>-0.426907221719924</t>
  </si>
  <si>
    <t>-0.197719280450355</t>
  </si>
  <si>
    <t>V6994</t>
  </si>
  <si>
    <t>-0.588845719003893</t>
  </si>
  <si>
    <t>-0.601197709319200</t>
  </si>
  <si>
    <t>-0.609602355201729</t>
  </si>
  <si>
    <t>V7172</t>
  </si>
  <si>
    <t>-0.591627673943504</t>
  </si>
  <si>
    <t>-0.625226699251499</t>
  </si>
  <si>
    <t>V7493</t>
  </si>
  <si>
    <t>-0.248274628220501</t>
  </si>
  <si>
    <t>0.394288146354520</t>
  </si>
  <si>
    <t>V7358</t>
  </si>
  <si>
    <t>-0.148751494947467</t>
  </si>
  <si>
    <t>-0.512461712302844</t>
  </si>
  <si>
    <t>0.166371924485050</t>
  </si>
  <si>
    <t>V3389</t>
  </si>
  <si>
    <t>-0.585560724909910</t>
  </si>
  <si>
    <t>-0.533593355571142</t>
  </si>
  <si>
    <t>-0.279195049515322</t>
  </si>
  <si>
    <t>V3387</t>
  </si>
  <si>
    <t>-0.635369453055018</t>
  </si>
  <si>
    <t>-0.546181800017266</t>
  </si>
  <si>
    <t>-0.692379305463924</t>
  </si>
  <si>
    <t>V3393</t>
  </si>
  <si>
    <t>0.500023102888745</t>
  </si>
  <si>
    <t>-0.262488613626732</t>
  </si>
  <si>
    <t>V3354</t>
  </si>
  <si>
    <t>-0.222901807661690</t>
  </si>
  <si>
    <t>-0.0845888922804192</t>
  </si>
  <si>
    <t>0.138581768171989</t>
  </si>
  <si>
    <t>V3356</t>
  </si>
  <si>
    <t>0.186092886795961</t>
  </si>
  <si>
    <t>-0.131835092060222</t>
  </si>
  <si>
    <t>0.0120805862526499</t>
  </si>
  <si>
    <t>V3559</t>
  </si>
  <si>
    <t>0.279538288715013</t>
  </si>
  <si>
    <t>-0.400557604865348</t>
  </si>
  <si>
    <t>V3537</t>
  </si>
  <si>
    <t>-0.644018540618119</t>
  </si>
  <si>
    <t>-0.495568777652751</t>
  </si>
  <si>
    <t>0.0303608203507214</t>
  </si>
  <si>
    <t>V3829</t>
  </si>
  <si>
    <t>-0.553944982647788</t>
  </si>
  <si>
    <t>-0.273516464801424</t>
  </si>
  <si>
    <t>-0.239929808152007</t>
  </si>
  <si>
    <t>V3831</t>
  </si>
  <si>
    <t>-0.325395743673544</t>
  </si>
  <si>
    <t>-0.395879581108330</t>
  </si>
  <si>
    <t>0.231410026454181</t>
  </si>
  <si>
    <t>V3821</t>
  </si>
  <si>
    <t>-0.306779605265034</t>
  </si>
  <si>
    <t>-0.420916561600378</t>
  </si>
  <si>
    <t>-0.549766598501276</t>
  </si>
  <si>
    <t>V3836</t>
  </si>
  <si>
    <t>0.225338480180427</t>
  </si>
  <si>
    <t>0.160885702880945</t>
  </si>
  <si>
    <t>-0.160134394500979</t>
  </si>
  <si>
    <t>V3541</t>
  </si>
  <si>
    <t>-0.600319060016098</t>
  </si>
  <si>
    <t>-0.545108296338988</t>
  </si>
  <si>
    <t>0.0960763600429589</t>
  </si>
  <si>
    <t>V4159</t>
  </si>
  <si>
    <t>-0.616487390467602</t>
  </si>
  <si>
    <t>-0.456562790074732</t>
  </si>
  <si>
    <t>-0.689922444207731</t>
  </si>
  <si>
    <t>V4151</t>
  </si>
  <si>
    <t>-0.315985044801231</t>
  </si>
  <si>
    <t>-0.494265680786930</t>
  </si>
  <si>
    <t>-0.525716942176965</t>
  </si>
  <si>
    <t>V4150</t>
  </si>
  <si>
    <t>-0.434500779670848</t>
  </si>
  <si>
    <t>-0.604495509089950</t>
  </si>
  <si>
    <t>0.439047350836926</t>
  </si>
  <si>
    <t>V4268</t>
  </si>
  <si>
    <t>0.283420482296692</t>
  </si>
  <si>
    <t>-0.512532455373329</t>
  </si>
  <si>
    <t>-0.0696005736086766</t>
  </si>
  <si>
    <t>V4269</t>
  </si>
  <si>
    <t>0.322402430284180</t>
  </si>
  <si>
    <t>-0.551985550601303</t>
  </si>
  <si>
    <t>-0.447995237675086</t>
  </si>
  <si>
    <t>V4271</t>
  </si>
  <si>
    <t>-0.467435234999469</t>
  </si>
  <si>
    <t>-0.662000631772102</t>
  </si>
  <si>
    <t>0.00696476025822347</t>
  </si>
  <si>
    <t>V4300</t>
  </si>
  <si>
    <t>0.301010981275054</t>
  </si>
  <si>
    <t>-0.343974250491471</t>
  </si>
  <si>
    <t>0.393446154462618</t>
  </si>
  <si>
    <t>V4189</t>
  </si>
  <si>
    <t>-0.641150159830481</t>
  </si>
  <si>
    <t>-0.547480170430323</t>
  </si>
  <si>
    <t>-0.576739259961280</t>
  </si>
  <si>
    <t>V4264</t>
  </si>
  <si>
    <t>0.137182857100405</t>
  </si>
  <si>
    <t>-0.252189162717182</t>
  </si>
  <si>
    <t>0.0357533045025526</t>
  </si>
  <si>
    <t>V4351</t>
  </si>
  <si>
    <t>-0.479292095714568</t>
  </si>
  <si>
    <t>0.0520704283825707</t>
  </si>
  <si>
    <t>-0.537215019360101</t>
  </si>
  <si>
    <t>V7173</t>
  </si>
  <si>
    <t>0.143818345894235</t>
  </si>
  <si>
    <t>V3443</t>
  </si>
  <si>
    <t>0.00823516126856243</t>
  </si>
  <si>
    <t>0.267042029490749</t>
  </si>
  <si>
    <t>V9353</t>
  </si>
  <si>
    <t>0.0836318889101239</t>
  </si>
  <si>
    <t>-0.298703870395091</t>
  </si>
  <si>
    <t>-0.313191857637109</t>
  </si>
  <si>
    <t>V9357</t>
  </si>
  <si>
    <t>-0.432381782613966</t>
  </si>
  <si>
    <t>V8955</t>
  </si>
  <si>
    <t>0.0633100901039124</t>
  </si>
  <si>
    <t>-0.497347333320909</t>
  </si>
  <si>
    <t>0.165331402358618</t>
  </si>
  <si>
    <t>V9186</t>
  </si>
  <si>
    <t>0.163050177754445</t>
  </si>
  <si>
    <t>-0.481004272262169</t>
  </si>
  <si>
    <t>V9187</t>
  </si>
  <si>
    <t>-0.494339942824850</t>
  </si>
  <si>
    <t>-0.390891090947776</t>
  </si>
  <si>
    <t>V9109</t>
  </si>
  <si>
    <t>0.300497516711110</t>
  </si>
  <si>
    <t>-0.0904688567450786</t>
  </si>
  <si>
    <t>V9532</t>
  </si>
  <si>
    <t>0.433651157177901</t>
  </si>
  <si>
    <t>-0.534208378441765</t>
  </si>
  <si>
    <t>V9534</t>
  </si>
  <si>
    <t>-0.605263872862885</t>
  </si>
  <si>
    <t>-0.541417292554321</t>
  </si>
  <si>
    <t>-0.538701809687592</t>
  </si>
  <si>
    <t>V9535</t>
  </si>
  <si>
    <t>-0.366667317474809</t>
  </si>
  <si>
    <t>-0.560105449344927</t>
  </si>
  <si>
    <t>0.421463491031017</t>
  </si>
  <si>
    <t>V9537</t>
  </si>
  <si>
    <t>0.0764459966702094</t>
  </si>
  <si>
    <t>-0.356034533972204</t>
  </si>
  <si>
    <t>-0.109408580527082</t>
  </si>
  <si>
    <t>V9457</t>
  </si>
  <si>
    <t>0.422444328118492</t>
  </si>
  <si>
    <t>-0.361963034525325</t>
  </si>
  <si>
    <t>0.490338679766809</t>
  </si>
  <si>
    <t>V9458</t>
  </si>
  <si>
    <t>-0.282692429646495</t>
  </si>
  <si>
    <t>-0.353865271158741</t>
  </si>
  <si>
    <t>-0.248455188956071</t>
  </si>
  <si>
    <t>V9463</t>
  </si>
  <si>
    <t>-0.610242838507444</t>
  </si>
  <si>
    <t>-0.481892886027908</t>
  </si>
  <si>
    <t>V9470</t>
  </si>
  <si>
    <t>-0.0573449514387851</t>
  </si>
  <si>
    <t>0.448075298278547</t>
  </si>
  <si>
    <t>V9533</t>
  </si>
  <si>
    <t>0.403121420956593</t>
  </si>
  <si>
    <t>-0.332473237520900</t>
  </si>
  <si>
    <t>V9536</t>
  </si>
  <si>
    <t>-0.475268702509929</t>
  </si>
  <si>
    <t>-0.480064474269037</t>
  </si>
  <si>
    <t>0.270840232165408</t>
  </si>
  <si>
    <t>V9460</t>
  </si>
  <si>
    <t>-0.598314818763216</t>
  </si>
  <si>
    <t>-0.138723987251881</t>
  </si>
  <si>
    <t>-0.329354849031589</t>
  </si>
  <si>
    <t>V9469</t>
  </si>
  <si>
    <t>-0.469783990646332</t>
  </si>
  <si>
    <t>-0.306925564072629</t>
  </si>
  <si>
    <t>-0.0191960592668035</t>
  </si>
  <si>
    <t>V9531</t>
  </si>
  <si>
    <t>0.287179339595387</t>
  </si>
  <si>
    <t>0.00797215158364076</t>
  </si>
  <si>
    <t>CB1-Ctrl</t>
  </si>
  <si>
    <t>CB1-KO</t>
  </si>
  <si>
    <t>Latency before contact (s)</t>
  </si>
  <si>
    <t># sniffings near tape</t>
  </si>
  <si>
    <t># episodes near tape</t>
  </si>
  <si>
    <t># detours near tape</t>
  </si>
  <si>
    <t># U-turns near tape</t>
  </si>
  <si>
    <t># side-passages</t>
  </si>
  <si>
    <t>speed before contact (cm/s)</t>
  </si>
  <si>
    <t>ontact activity</t>
  </si>
  <si>
    <t>contact gaze</t>
  </si>
  <si>
    <t>initial zone of contact</t>
  </si>
  <si>
    <t>time-to-remove (s)</t>
  </si>
  <si>
    <t>duration of contact (s)</t>
  </si>
  <si>
    <t>Retrieval-2</t>
  </si>
  <si>
    <t>Retrieval-1</t>
  </si>
  <si>
    <t>V0879</t>
  </si>
  <si>
    <t>V0878</t>
  </si>
  <si>
    <t>V0144</t>
  </si>
  <si>
    <t>V1223</t>
  </si>
  <si>
    <t>V1345</t>
  </si>
  <si>
    <t>V1351</t>
  </si>
  <si>
    <t>V1353</t>
  </si>
  <si>
    <t>V1409</t>
  </si>
  <si>
    <t>V1410</t>
  </si>
  <si>
    <t>V1415</t>
  </si>
  <si>
    <t>V3029</t>
  </si>
  <si>
    <t>V1222</t>
  </si>
  <si>
    <t>V1999</t>
  </si>
  <si>
    <t>V0754</t>
  </si>
  <si>
    <t>D2-S2-cre</t>
  </si>
  <si>
    <t>V0755</t>
  </si>
  <si>
    <t>V1041</t>
  </si>
  <si>
    <t>V1224</t>
  </si>
  <si>
    <t>V1350</t>
  </si>
  <si>
    <t>V1355</t>
  </si>
  <si>
    <t>V1414</t>
  </si>
  <si>
    <t>V3031</t>
  </si>
  <si>
    <t>V3980</t>
  </si>
  <si>
    <t>V3981</t>
  </si>
  <si>
    <t>V3943</t>
  </si>
  <si>
    <t>V1039</t>
  </si>
  <si>
    <t>V1208</t>
  </si>
  <si>
    <t>V1416</t>
  </si>
  <si>
    <t>V3030</t>
  </si>
  <si>
    <t>V0877</t>
  </si>
  <si>
    <t>V1042</t>
  </si>
  <si>
    <t>V1219</t>
  </si>
  <si>
    <t>V2000</t>
  </si>
  <si>
    <t>V4032</t>
  </si>
  <si>
    <t>V4033</t>
  </si>
  <si>
    <t>V3219</t>
  </si>
  <si>
    <t>V3221</t>
  </si>
  <si>
    <t>V3259</t>
  </si>
  <si>
    <t>V3437</t>
  </si>
  <si>
    <t>V3944</t>
  </si>
  <si>
    <t>V9326</t>
  </si>
  <si>
    <t>D2-Cre</t>
  </si>
  <si>
    <t>V9327</t>
  </si>
  <si>
    <t>V9329</t>
  </si>
  <si>
    <t>V9330</t>
  </si>
  <si>
    <t>D2-Ctrl</t>
  </si>
  <si>
    <t>V9331</t>
  </si>
  <si>
    <t>V9218</t>
  </si>
  <si>
    <t>V9227</t>
  </si>
  <si>
    <t>V9228</t>
  </si>
  <si>
    <t>V9230</t>
  </si>
  <si>
    <t>V9306</t>
  </si>
  <si>
    <t>D2-cre</t>
  </si>
  <si>
    <t>V9309</t>
  </si>
  <si>
    <t>V9310</t>
  </si>
  <si>
    <t>V9040</t>
  </si>
  <si>
    <t>V9041</t>
  </si>
  <si>
    <t>V9425</t>
  </si>
  <si>
    <t>V9432</t>
  </si>
  <si>
    <t>V9437</t>
  </si>
  <si>
    <t>V9439</t>
  </si>
  <si>
    <t>V9441</t>
  </si>
  <si>
    <t>V9443</t>
  </si>
  <si>
    <t>V9431</t>
  </si>
  <si>
    <t>V9540</t>
  </si>
  <si>
    <t>V9541</t>
  </si>
  <si>
    <t>V9542</t>
  </si>
  <si>
    <t>V9539</t>
  </si>
  <si>
    <t>V9543</t>
  </si>
  <si>
    <t>0.308130168238295</t>
  </si>
  <si>
    <t>0.417637351075691</t>
  </si>
  <si>
    <t>-0.367617556630759</t>
  </si>
  <si>
    <t>0.0901121802808295</t>
  </si>
  <si>
    <t>-0.0168998438152050</t>
  </si>
  <si>
    <t>0.457067045831451</t>
  </si>
  <si>
    <t>-0.629487188875853</t>
  </si>
  <si>
    <t>0.237526880773915</t>
  </si>
  <si>
    <t>0.318262687885307</t>
  </si>
  <si>
    <t>-0.513783723581233</t>
  </si>
  <si>
    <t>-0.648364059227050</t>
  </si>
  <si>
    <t>0.257232896276690</t>
  </si>
  <si>
    <t>-0.608704643673592</t>
  </si>
  <si>
    <t>-0.373290886295806</t>
  </si>
  <si>
    <t>-0.647002964232586</t>
  </si>
  <si>
    <t>-0.574636803914255</t>
  </si>
  <si>
    <t>-0.192111932971813</t>
  </si>
  <si>
    <t>0.0964165103692695</t>
  </si>
  <si>
    <t>-0.469456923252798</t>
  </si>
  <si>
    <t>-0.666161148218861</t>
  </si>
  <si>
    <t>-0.637483038262897</t>
  </si>
  <si>
    <t>-0.677161711605217</t>
  </si>
  <si>
    <t>-0.672660648543850</t>
  </si>
  <si>
    <t>0.250120481926591</t>
  </si>
  <si>
    <t>0.432388368892393</t>
  </si>
  <si>
    <t>0.320196056536505</t>
  </si>
  <si>
    <t>0.0714774334820105</t>
  </si>
  <si>
    <t>0.314369067236269</t>
  </si>
  <si>
    <t>-0.193529926838558</t>
  </si>
  <si>
    <t>-0.357150163567990</t>
  </si>
  <si>
    <t>0.348458255952982</t>
  </si>
  <si>
    <t>0.101799075992032</t>
  </si>
  <si>
    <t>-0.0320849311955371</t>
  </si>
  <si>
    <t>-0.678532925057353</t>
  </si>
  <si>
    <t>0.221292287970498</t>
  </si>
  <si>
    <t>0.433787212720002</t>
  </si>
  <si>
    <t>0.384711305193554</t>
  </si>
  <si>
    <t>-0.534559071731723</t>
  </si>
  <si>
    <t>0.0603727167622381</t>
  </si>
  <si>
    <t>0.262186114847517</t>
  </si>
  <si>
    <t>-0.164306989762987</t>
  </si>
  <si>
    <t>-0.127599439604927</t>
  </si>
  <si>
    <t>-0.560501486398460</t>
  </si>
  <si>
    <t>-0.128538694689551</t>
  </si>
  <si>
    <t>0.160272496449512</t>
  </si>
  <si>
    <t>-0.428906780200340</t>
  </si>
  <si>
    <t>-0.358145202275299</t>
  </si>
  <si>
    <t>-0.503359544895906</t>
  </si>
  <si>
    <t>0.249843896633895</t>
  </si>
  <si>
    <t>0.447084166556795</t>
  </si>
  <si>
    <t>0.0774620952762824</t>
  </si>
  <si>
    <t>-0.0515704130734904</t>
  </si>
  <si>
    <t>-0.255164636032482</t>
  </si>
  <si>
    <t>-0.135242096274762</t>
  </si>
  <si>
    <t>-0.313166879206718</t>
  </si>
  <si>
    <t>-0.380090251731738</t>
  </si>
  <si>
    <t>0.336848635754781</t>
  </si>
  <si>
    <t>-0.0835644160539567</t>
  </si>
  <si>
    <t>-0.529339213379277</t>
  </si>
  <si>
    <t>-0.365759834315330</t>
  </si>
  <si>
    <t>-0.560487298032736</t>
  </si>
  <si>
    <t>-0.229451538481443</t>
  </si>
  <si>
    <t>-0.631413751979522</t>
  </si>
  <si>
    <t>-0.242490211760605</t>
  </si>
  <si>
    <t>-0.106003427245006</t>
  </si>
  <si>
    <t>-0.430907542301114</t>
  </si>
  <si>
    <t>-0.574475218323958</t>
  </si>
  <si>
    <t>-0.694646548129236</t>
  </si>
  <si>
    <t>-0.133869036210888</t>
  </si>
  <si>
    <t>-0.473495822873760</t>
  </si>
  <si>
    <t>-0.554824832236543</t>
  </si>
  <si>
    <t>-0.617645969052652</t>
  </si>
  <si>
    <t>-0.519407516500218</t>
  </si>
  <si>
    <t>-0.588294913531637</t>
  </si>
  <si>
    <t>-0.520729709586164</t>
  </si>
  <si>
    <t>-0.412684115328684</t>
  </si>
  <si>
    <t>-0.639629497539419</t>
  </si>
  <si>
    <t>-0.554701610640593</t>
  </si>
  <si>
    <t>-0.504743386687527</t>
  </si>
  <si>
    <t>-0.552199013881012</t>
  </si>
  <si>
    <t>-0.550991404901123</t>
  </si>
  <si>
    <t>-0.541202333111246</t>
  </si>
  <si>
    <t>0.0504982785985544</t>
  </si>
  <si>
    <t>-0.666993872807565</t>
  </si>
  <si>
    <t>-0.551727024957707</t>
  </si>
  <si>
    <t>-0.544894875063505</t>
  </si>
  <si>
    <t>-0.170231005180943</t>
  </si>
  <si>
    <t>-0.321783570498668</t>
  </si>
  <si>
    <t>-0.288746253017827</t>
  </si>
  <si>
    <t>-0.467280827291444</t>
  </si>
  <si>
    <t>-0.0264067098190590</t>
  </si>
  <si>
    <t>-0.0605148582790308</t>
  </si>
  <si>
    <t>-0.517170741472393</t>
  </si>
  <si>
    <t>-0.248071613610891</t>
  </si>
  <si>
    <t>-0.516310598440798</t>
  </si>
  <si>
    <t>-0.671849658375571</t>
  </si>
  <si>
    <t>-0.122008491953358</t>
  </si>
  <si>
    <t>-0.547496395806553</t>
  </si>
  <si>
    <t>-0.450530103822223</t>
  </si>
  <si>
    <t>-0.524318585555988</t>
  </si>
  <si>
    <t>-0.537465091420439</t>
  </si>
  <si>
    <t>-0.381153151998189</t>
  </si>
  <si>
    <t>-0.521020601809877</t>
  </si>
  <si>
    <t>-0.134708872861227</t>
  </si>
  <si>
    <t>-0.349588515018084</t>
  </si>
  <si>
    <t>-0.473474626127565</t>
  </si>
  <si>
    <t>-0.501503634769090</t>
  </si>
  <si>
    <t>-0.347379051353150</t>
  </si>
  <si>
    <t>-0.205229909619574</t>
  </si>
  <si>
    <t>-0.486070932770865</t>
  </si>
  <si>
    <t>-0.412452424279606</t>
  </si>
  <si>
    <t>-0.0814374946537048</t>
  </si>
  <si>
    <t>-0.0929853663222757</t>
  </si>
  <si>
    <t>-0.0284115472837771</t>
  </si>
  <si>
    <t>-0.406779707800668</t>
  </si>
  <si>
    <t>-0.122120643411708</t>
  </si>
  <si>
    <t>-0.253692027976298</t>
  </si>
  <si>
    <t>-0.167837619774560</t>
  </si>
  <si>
    <t>-0.365349721671756</t>
  </si>
  <si>
    <t>-0.304601871285681</t>
  </si>
  <si>
    <t>-0.510782859736801</t>
  </si>
  <si>
    <t>-0.518668795127410</t>
  </si>
  <si>
    <t>-0.499411093567072</t>
  </si>
  <si>
    <t>-0.381978280053524</t>
  </si>
  <si>
    <t>0.0174446218804265</t>
  </si>
  <si>
    <t>0.0566668024928112</t>
  </si>
  <si>
    <t>-0.137396622397802</t>
  </si>
  <si>
    <t>0.356378988659745</t>
  </si>
  <si>
    <t>0.461818414281954</t>
  </si>
  <si>
    <t>0.357781331503173</t>
  </si>
  <si>
    <t>0.0787158767580636</t>
  </si>
  <si>
    <t>0.173224064737315</t>
  </si>
  <si>
    <t>-0.111267590698005</t>
  </si>
  <si>
    <t>-0.344200650399637</t>
  </si>
  <si>
    <t>0.0395927648455190</t>
  </si>
  <si>
    <t>0.279588191801054</t>
  </si>
  <si>
    <t>-0.131449067085670</t>
  </si>
  <si>
    <t>0.293685894039409</t>
  </si>
  <si>
    <t>0.270397165728388</t>
  </si>
  <si>
    <t>-0.165255446790789</t>
  </si>
  <si>
    <t>-0.645071668872865</t>
  </si>
  <si>
    <t>0.110703798009054</t>
  </si>
  <si>
    <t>0.193583391371286</t>
  </si>
  <si>
    <t>-0.319427363182379</t>
  </si>
  <si>
    <t>-0.651223916798142</t>
  </si>
  <si>
    <t>-0.259253360670128</t>
  </si>
  <si>
    <t>0.404289865678020</t>
  </si>
  <si>
    <t>0.399214725540316</t>
  </si>
  <si>
    <t>0.270209897293953</t>
  </si>
  <si>
    <t>0.0366218987055856</t>
  </si>
  <si>
    <t>-0.299244187335124</t>
  </si>
  <si>
    <t>0.429205233142951</t>
  </si>
  <si>
    <t>0.439670149771473</t>
  </si>
  <si>
    <t>0.288306744649221</t>
  </si>
  <si>
    <t>0.323460845609468</t>
  </si>
  <si>
    <t>0.0782245647161454</t>
  </si>
  <si>
    <t>0.383850124798192</t>
  </si>
  <si>
    <t>0.357277124526318</t>
  </si>
  <si>
    <t>0.433346719473798</t>
  </si>
  <si>
    <t>-0.675293942991992</t>
  </si>
  <si>
    <t>-0.00242949215896683</t>
  </si>
  <si>
    <t>-0.414550442416470</t>
  </si>
  <si>
    <t>0.194076365456765</t>
  </si>
  <si>
    <t>-0.0259667393312942</t>
  </si>
  <si>
    <t>0.299974676753114</t>
  </si>
  <si>
    <t>0.369505706543886</t>
  </si>
  <si>
    <t>0.0233239364621629</t>
  </si>
  <si>
    <t>0.359953779527418</t>
  </si>
  <si>
    <t>0.335499136914751</t>
  </si>
  <si>
    <t>0.164539919210038</t>
  </si>
  <si>
    <t>0.278682932192471</t>
  </si>
  <si>
    <t>-0.255075571655630</t>
  </si>
  <si>
    <t>0.183049944475790</t>
  </si>
  <si>
    <t>0.245537135356582</t>
  </si>
  <si>
    <t>0.326318325166504</t>
  </si>
  <si>
    <t>0.286760019160326</t>
  </si>
  <si>
    <t>-0.642464335103636</t>
  </si>
  <si>
    <t>0.421265646207398</t>
  </si>
  <si>
    <t>V1123</t>
  </si>
  <si>
    <t>10% DMSO + Salin</t>
  </si>
  <si>
    <t>DMSO 1%</t>
  </si>
  <si>
    <t>AM251 500 + DMSO</t>
  </si>
  <si>
    <t>V7253</t>
  </si>
  <si>
    <t>V7251</t>
  </si>
  <si>
    <t>V7252</t>
  </si>
  <si>
    <t>V7262</t>
  </si>
  <si>
    <t>V7258</t>
  </si>
  <si>
    <t>V7259</t>
  </si>
  <si>
    <t>V7261</t>
  </si>
  <si>
    <t>V7256</t>
  </si>
  <si>
    <t>V7263</t>
  </si>
  <si>
    <t>CHAF01</t>
  </si>
  <si>
    <t>CHAF02</t>
  </si>
  <si>
    <t>AM251 100 + DMSO 1%</t>
  </si>
  <si>
    <t>CHAF03</t>
  </si>
  <si>
    <t>CHAF04</t>
  </si>
  <si>
    <t>CHAM04</t>
  </si>
  <si>
    <t>CHAM05</t>
  </si>
  <si>
    <t>CHAM06</t>
  </si>
  <si>
    <t>CHAM07</t>
  </si>
  <si>
    <t>CHAF06</t>
  </si>
  <si>
    <t>CHAF07</t>
  </si>
  <si>
    <t>CHAM01</t>
  </si>
  <si>
    <t>CHAM02</t>
  </si>
  <si>
    <t>CHAM03</t>
  </si>
  <si>
    <t>CHAM08</t>
  </si>
  <si>
    <t>CHAM09</t>
  </si>
  <si>
    <t>CHAM10</t>
  </si>
  <si>
    <t>CHAM11</t>
  </si>
  <si>
    <t>CHAM12</t>
  </si>
  <si>
    <t>CHAM13</t>
  </si>
  <si>
    <t>CHAM14</t>
  </si>
  <si>
    <t>CHAM15</t>
  </si>
  <si>
    <t>CHAF09</t>
  </si>
  <si>
    <t>AM251 5 + DMSO 0,5%</t>
  </si>
  <si>
    <t>CHAF10</t>
  </si>
  <si>
    <t>CHAF11</t>
  </si>
  <si>
    <t>CHAF12</t>
  </si>
  <si>
    <t>CHAF13</t>
  </si>
  <si>
    <t>CHAF14</t>
  </si>
  <si>
    <t>CHAF15</t>
  </si>
  <si>
    <t>V26043</t>
  </si>
  <si>
    <t>V26044</t>
  </si>
  <si>
    <t>V26045</t>
  </si>
  <si>
    <t>V26046</t>
  </si>
  <si>
    <t>V26051</t>
  </si>
  <si>
    <t>V26052</t>
  </si>
  <si>
    <t>V26053</t>
  </si>
  <si>
    <t>V26054</t>
  </si>
  <si>
    <t>V26055</t>
  </si>
  <si>
    <t>V26056</t>
  </si>
  <si>
    <t>V26057</t>
  </si>
  <si>
    <t>V26047</t>
  </si>
  <si>
    <t>V26048</t>
  </si>
  <si>
    <t>V26049</t>
  </si>
  <si>
    <t>V26050</t>
  </si>
  <si>
    <t>V549</t>
  </si>
  <si>
    <t>DMSO 10%</t>
  </si>
  <si>
    <t>V1785</t>
  </si>
  <si>
    <t>DMSO 0,5%</t>
  </si>
  <si>
    <t>V1786</t>
  </si>
  <si>
    <t>V1797</t>
  </si>
  <si>
    <t>V4088</t>
  </si>
  <si>
    <t>EtOH + Salin</t>
  </si>
  <si>
    <t>V4110</t>
  </si>
  <si>
    <t>V3699</t>
  </si>
  <si>
    <t>V3674</t>
  </si>
  <si>
    <t>Strain-Condition (WT)</t>
  </si>
  <si>
    <t>0.363193672673423</t>
  </si>
  <si>
    <t>-0.672331124959367</t>
  </si>
  <si>
    <t>0.301180118661406</t>
  </si>
  <si>
    <t>-0.736669612067420</t>
  </si>
  <si>
    <t>0.298468139892685</t>
  </si>
  <si>
    <t>-0.165026227180445</t>
  </si>
  <si>
    <t>0.0401125236846047</t>
  </si>
  <si>
    <t>0.253320627536043</t>
  </si>
  <si>
    <t>0.183437969088636</t>
  </si>
  <si>
    <t>-0.0832306363500351</t>
  </si>
  <si>
    <t>-0.801550120205055</t>
  </si>
  <si>
    <t>0.263750190354514</t>
  </si>
  <si>
    <t>0.218635732521815</t>
  </si>
  <si>
    <t>-0.501136871250539</t>
  </si>
  <si>
    <t>0.477629441552906</t>
  </si>
  <si>
    <t>0.188007738968011</t>
  </si>
  <si>
    <t>-0.513022063587372</t>
  </si>
  <si>
    <t>-0.588704575221854</t>
  </si>
  <si>
    <t>-0.338980129669923</t>
  </si>
  <si>
    <t>0.0683440444110368</t>
  </si>
  <si>
    <t>-0.161430184052534</t>
  </si>
  <si>
    <t>0.287846364108310</t>
  </si>
  <si>
    <t>-0.382089106958569</t>
  </si>
  <si>
    <t>-0.486265070562164</t>
  </si>
  <si>
    <t>-0.607151410276714</t>
  </si>
  <si>
    <t>0.195185843879000</t>
  </si>
  <si>
    <t>0.198683085199845</t>
  </si>
  <si>
    <t>-0.354341834999184</t>
  </si>
  <si>
    <t>-0.600915319784187</t>
  </si>
  <si>
    <t>-0.171515026818310</t>
  </si>
  <si>
    <t>-0.493850834031284</t>
  </si>
  <si>
    <t>0.203797042934742</t>
  </si>
  <si>
    <t>-0.487337359122840</t>
  </si>
  <si>
    <t>-0.427684052241177</t>
  </si>
  <si>
    <t>-0.649016829538236</t>
  </si>
  <si>
    <t>-0.0831159521050859</t>
  </si>
  <si>
    <t>0.435526414388403</t>
  </si>
  <si>
    <t>-0.626461440318343</t>
  </si>
  <si>
    <t>-0.211538532307768</t>
  </si>
  <si>
    <t>0.380239685881565</t>
  </si>
  <si>
    <t>-0.562990171925845</t>
  </si>
  <si>
    <t>-0.0425729742130164</t>
  </si>
  <si>
    <t>-0.501407363799653</t>
  </si>
  <si>
    <t>0.362346904128495</t>
  </si>
  <si>
    <t>-0.650159077909333</t>
  </si>
  <si>
    <t>0.450722962530697</t>
  </si>
  <si>
    <t>0.189891101760993</t>
  </si>
  <si>
    <t>-0.537287518386455</t>
  </si>
  <si>
    <t>-0.319137200279755</t>
  </si>
  <si>
    <t>0.488880626477282</t>
  </si>
  <si>
    <t>0.0354831595214734</t>
  </si>
  <si>
    <t>-0.624499801275888</t>
  </si>
  <si>
    <t>0.442048525012080</t>
  </si>
  <si>
    <t>0.0220245623789565</t>
  </si>
  <si>
    <t>0.107837269414356</t>
  </si>
  <si>
    <t>-0.513261977065266</t>
  </si>
  <si>
    <t>-0.557864590294173</t>
  </si>
  <si>
    <t>-0.0533247427985154</t>
  </si>
  <si>
    <t>-0.602318309440333</t>
  </si>
  <si>
    <t>-0.458317128313014</t>
  </si>
  <si>
    <t>-0.417200602253486</t>
  </si>
  <si>
    <t>-0.428967095588710</t>
  </si>
  <si>
    <t>10.5514812384420</t>
  </si>
  <si>
    <t>9.91234657433995</t>
  </si>
  <si>
    <t>3.54872670696387</t>
  </si>
  <si>
    <t>1.04707193268915</t>
  </si>
  <si>
    <t>7.92832564023671</t>
  </si>
  <si>
    <t>3.26862929255207</t>
  </si>
  <si>
    <t>0.964781781449896</t>
  </si>
  <si>
    <t>6.07501386628957</t>
  </si>
  <si>
    <t>5.58945205355155</t>
  </si>
  <si>
    <t>6.20074765580184</t>
  </si>
  <si>
    <t>13.1326044661894</t>
  </si>
  <si>
    <t>8.81856909563057</t>
  </si>
  <si>
    <t>1.04678049701009</t>
  </si>
  <si>
    <t>5.15031090346636</t>
  </si>
  <si>
    <t>7.80050214029835</t>
  </si>
  <si>
    <t>6.30695880217684</t>
  </si>
  <si>
    <t>7.60483083087380</t>
  </si>
  <si>
    <t>1.16627752103231</t>
  </si>
  <si>
    <t>8.45702385074868</t>
  </si>
  <si>
    <t>11.4562306969719</t>
  </si>
  <si>
    <t>3.75157794975337</t>
  </si>
  <si>
    <t>1.79079096452622</t>
  </si>
  <si>
    <t>9.68764009396515</t>
  </si>
  <si>
    <t>5.82355480193304</t>
  </si>
  <si>
    <t>2.22291509995662</t>
  </si>
  <si>
    <t>7.81470912534936</t>
  </si>
  <si>
    <t>9.24224535566922</t>
  </si>
  <si>
    <t>8.45732871848400</t>
  </si>
  <si>
    <t>8.59297786018358</t>
  </si>
  <si>
    <t>-0.191729395080328</t>
  </si>
  <si>
    <t>0.138503122640092</t>
  </si>
  <si>
    <t>0.266074397889227</t>
  </si>
  <si>
    <t>0.302804073761193</t>
  </si>
  <si>
    <t>-0.275562351371392</t>
  </si>
  <si>
    <t>-0.205072763138366</t>
  </si>
  <si>
    <t>0.0678128005386646</t>
  </si>
  <si>
    <t>-0.0144315986790598</t>
  </si>
  <si>
    <t>0.198207793631468</t>
  </si>
  <si>
    <t>-0.485463845938062</t>
  </si>
  <si>
    <t>-0.596093044770071</t>
  </si>
  <si>
    <t>-0.535598340146785</t>
  </si>
  <si>
    <t>0.475601450251291</t>
  </si>
  <si>
    <t>-0.530005566694963</t>
  </si>
  <si>
    <t>-0.163388697307618</t>
  </si>
  <si>
    <t>0.236728304690982</t>
  </si>
  <si>
    <t>-0.555063303006733</t>
  </si>
  <si>
    <t>0.271537539047594</t>
  </si>
  <si>
    <t>-0.564455343620632</t>
  </si>
  <si>
    <t>-0.609323525932764</t>
  </si>
  <si>
    <t>0.245663346496934</t>
  </si>
  <si>
    <t>0.122027128662537</t>
  </si>
  <si>
    <t>-0.584159753447523</t>
  </si>
  <si>
    <t>0.224649198274235</t>
  </si>
  <si>
    <t>0.407111280519989</t>
  </si>
  <si>
    <t>0.219413994529883</t>
  </si>
  <si>
    <t>0.0187495822399651</t>
  </si>
  <si>
    <t>-0.222597465927177</t>
  </si>
  <si>
    <t>-0.499136885340406</t>
  </si>
  <si>
    <t>V6968</t>
  </si>
  <si>
    <t>V7009</t>
  </si>
  <si>
    <t>V7010</t>
  </si>
  <si>
    <t>V7006</t>
  </si>
  <si>
    <t>Blanc1</t>
  </si>
  <si>
    <t>Bleu1</t>
  </si>
  <si>
    <t>Danger</t>
  </si>
  <si>
    <t>Jaune</t>
  </si>
  <si>
    <t>Jaune1</t>
  </si>
  <si>
    <t>Orange</t>
  </si>
  <si>
    <t>Rouge</t>
  </si>
  <si>
    <t>Vert</t>
  </si>
  <si>
    <t>Vert1</t>
  </si>
  <si>
    <t>V4089</t>
  </si>
  <si>
    <t>V4090</t>
  </si>
  <si>
    <t>V4091</t>
  </si>
  <si>
    <t>V4093</t>
  </si>
  <si>
    <t>V4111</t>
  </si>
  <si>
    <t>V4164</t>
  </si>
  <si>
    <t>V4166</t>
  </si>
  <si>
    <t>V4167</t>
  </si>
  <si>
    <t>V4170</t>
  </si>
  <si>
    <t>V4171</t>
  </si>
  <si>
    <t>V4172</t>
  </si>
  <si>
    <t>V4173</t>
  </si>
  <si>
    <t>V4174</t>
  </si>
  <si>
    <t>V4175</t>
  </si>
  <si>
    <t>WT + saline</t>
  </si>
  <si>
    <t>WT + AP5</t>
  </si>
  <si>
    <t>1.23458182981823</t>
  </si>
  <si>
    <t>-0.973437459986146</t>
  </si>
  <si>
    <t>1.19792337555171</t>
  </si>
  <si>
    <t>1.28603268008786</t>
  </si>
  <si>
    <t>0.689529989810397</t>
  </si>
  <si>
    <t>-0.892940104056107</t>
  </si>
  <si>
    <t>-1.03599675500811</t>
  </si>
  <si>
    <t>1.23600360967170</t>
  </si>
  <si>
    <t>1.25926964736486</t>
  </si>
  <si>
    <t>-0.765933485641599</t>
  </si>
  <si>
    <t>1.22079356132756</t>
  </si>
  <si>
    <t>1.28767564073555</t>
  </si>
  <si>
    <t>-1.33440625546871</t>
  </si>
  <si>
    <t>1.09959172844327</t>
  </si>
  <si>
    <t>1.33326347343540</t>
  </si>
  <si>
    <t>1.30956074274693</t>
  </si>
  <si>
    <t>0.706450182684469</t>
  </si>
  <si>
    <t>1.20534190910369</t>
  </si>
  <si>
    <t>1.19606420168104</t>
  </si>
  <si>
    <t>1.19885472353889</t>
  </si>
  <si>
    <t>1.01897885551452</t>
  </si>
  <si>
    <t>1.11456025278288</t>
  </si>
  <si>
    <t>-1.24124445047755</t>
  </si>
  <si>
    <t>1.29562173859928</t>
  </si>
  <si>
    <t>1.12914376677511</t>
  </si>
  <si>
    <t>1.11095420342172</t>
  </si>
  <si>
    <t>1.16709879885286</t>
  </si>
  <si>
    <t>-1.19187417934039</t>
  </si>
  <si>
    <t>-1.21287304045959</t>
  </si>
  <si>
    <t>-1.10409103628453</t>
  </si>
  <si>
    <t>-1.04838077740668</t>
  </si>
  <si>
    <t>-1.14042041313200</t>
  </si>
  <si>
    <t>-1.23186377631485</t>
  </si>
  <si>
    <t>-0.861173611851476</t>
  </si>
  <si>
    <t>-1.14107375481290</t>
  </si>
  <si>
    <t>-0.982252620351071</t>
  </si>
  <si>
    <t>-1.19145498423291</t>
  </si>
  <si>
    <t>0.455911023883039</t>
  </si>
  <si>
    <t>-1.21459578457243</t>
  </si>
  <si>
    <t>-0.713023788324648</t>
  </si>
  <si>
    <t>-0.613465108236161</t>
  </si>
  <si>
    <t>-0.985701461709817</t>
  </si>
  <si>
    <t>-0.460590586004673</t>
  </si>
  <si>
    <t>-1.20433049169998</t>
  </si>
  <si>
    <t>-1.16780096202764</t>
  </si>
  <si>
    <t>-1.19076161617729</t>
  </si>
  <si>
    <t>-0.165741536177585</t>
  </si>
  <si>
    <t>-1.26720155838269</t>
  </si>
  <si>
    <t>-1.23666778820104</t>
  </si>
  <si>
    <t>-1.21961451959679</t>
  </si>
  <si>
    <t>-0.437015773329201</t>
  </si>
  <si>
    <t>-1.21187266802952</t>
  </si>
  <si>
    <t>-0.777778327987666</t>
  </si>
  <si>
    <t>0.584527185522412</t>
  </si>
  <si>
    <t>13.3493055388393</t>
  </si>
  <si>
    <t>0.930473920958129</t>
  </si>
  <si>
    <t>1.57412456276542</t>
  </si>
  <si>
    <t>16.8834461243218</t>
  </si>
  <si>
    <t>0.00291039197589141</t>
  </si>
  <si>
    <t>1.45794312933262</t>
  </si>
  <si>
    <t>0.160427906709666</t>
  </si>
  <si>
    <t>29.4112025616327</t>
  </si>
  <si>
    <t>0.534244952091481</t>
  </si>
  <si>
    <t>0.171413481490709</t>
  </si>
  <si>
    <t>4.80599288719927</t>
  </si>
  <si>
    <t>1.16465232171290</t>
  </si>
  <si>
    <t>0.893138651742534</t>
  </si>
  <si>
    <t>10.5096561007351</t>
  </si>
  <si>
    <t>11.0041496834897</t>
  </si>
  <si>
    <t>0.286702478715315</t>
  </si>
  <si>
    <t>3.91875066162779</t>
  </si>
  <si>
    <t>0.0327032756840435</t>
  </si>
  <si>
    <t>0.0458499751015555</t>
  </si>
  <si>
    <t>0.423578127485382</t>
  </si>
  <si>
    <t>14.0351231605063</t>
  </si>
  <si>
    <t>2.49398010992895</t>
  </si>
  <si>
    <t>0.443563496399595</t>
  </si>
  <si>
    <t>1.53989160387065</t>
  </si>
  <si>
    <t>1.25591612085480</t>
  </si>
  <si>
    <t>1.32130283735549</t>
  </si>
  <si>
    <t>0.254823800455983</t>
  </si>
  <si>
    <t>1.15529555874774</t>
  </si>
  <si>
    <t>0.570197518256374</t>
  </si>
  <si>
    <t>tres leger contact</t>
  </si>
  <si>
    <t>1.26290575655981</t>
  </si>
  <si>
    <t>1.32687498355020</t>
  </si>
  <si>
    <t>0.161507588158016</t>
  </si>
  <si>
    <t>-1.11574359649127</t>
  </si>
  <si>
    <t>1.33921483207804</t>
  </si>
  <si>
    <t>1.25548156111994</t>
  </si>
  <si>
    <t>1.31039784979861</t>
  </si>
  <si>
    <t>1.26339122792312</t>
  </si>
  <si>
    <t>1.33211015724143</t>
  </si>
  <si>
    <t>1.27214583853716</t>
  </si>
  <si>
    <t>1.26560176103570</t>
  </si>
  <si>
    <t>1.22029569093176</t>
  </si>
  <si>
    <t>1.20625674847736</t>
  </si>
  <si>
    <t>1.29389936999187</t>
  </si>
  <si>
    <t>1.26751260168929</t>
  </si>
  <si>
    <t>bouge le scotch post-saut</t>
  </si>
  <si>
    <t>-0.948514682634954</t>
  </si>
  <si>
    <t>1.15230151941900</t>
  </si>
  <si>
    <t>1.22778124950140</t>
  </si>
  <si>
    <t>1.33817911002849</t>
  </si>
  <si>
    <t>1.23761786261143</t>
  </si>
  <si>
    <t>V0761</t>
  </si>
  <si>
    <t>V0763</t>
  </si>
  <si>
    <t>V3012</t>
  </si>
  <si>
    <t>V5150</t>
  </si>
  <si>
    <t>V5147</t>
  </si>
  <si>
    <t>V3675</t>
  </si>
  <si>
    <t>V3676</t>
  </si>
  <si>
    <t>V3680</t>
  </si>
  <si>
    <t>V3681</t>
  </si>
  <si>
    <t>V3683</t>
  </si>
  <si>
    <t>V3685</t>
  </si>
  <si>
    <t>V3686</t>
  </si>
  <si>
    <t>V3688</t>
  </si>
  <si>
    <t>V3665</t>
  </si>
  <si>
    <t>V4168</t>
  </si>
  <si>
    <t>V4169</t>
  </si>
  <si>
    <t>3.93832858912424</t>
  </si>
  <si>
    <t>4.38908006449731</t>
  </si>
  <si>
    <t>10.0121186143367</t>
  </si>
  <si>
    <t>9.26395935869037</t>
  </si>
  <si>
    <t>4.42529142576027</t>
  </si>
  <si>
    <t>17.7935400086625</t>
  </si>
  <si>
    <t>17.8469241048460</t>
  </si>
  <si>
    <t>10.7487065627974</t>
  </si>
  <si>
    <t>14.8637842420110</t>
  </si>
  <si>
    <t>15.0445535323956</t>
  </si>
  <si>
    <t>7.61974221388009</t>
  </si>
  <si>
    <t>10.5531868541332</t>
  </si>
  <si>
    <t>12.7855667723443</t>
  </si>
  <si>
    <t>6.60349400562625</t>
  </si>
  <si>
    <t>12.0126694141917</t>
  </si>
  <si>
    <t>17.1026719517647</t>
  </si>
  <si>
    <t>5.95542340871457</t>
  </si>
  <si>
    <t>8.93415326692875</t>
  </si>
  <si>
    <t>10.3769174248238</t>
  </si>
  <si>
    <t>16.7217208441978</t>
  </si>
  <si>
    <t>11.7952514549796</t>
  </si>
  <si>
    <t>10.1620719955702</t>
  </si>
  <si>
    <t>13.1748184415362</t>
  </si>
  <si>
    <t>17.9274845952830</t>
  </si>
  <si>
    <t>3.13758133402027</t>
  </si>
  <si>
    <t>9.97412305466708</t>
  </si>
  <si>
    <t>17.7815328092538</t>
  </si>
  <si>
    <t>14.1226890805809</t>
  </si>
  <si>
    <t>5.74779759421349</t>
  </si>
  <si>
    <t>15.1662786609471</t>
  </si>
  <si>
    <t>16.0100060822900</t>
  </si>
  <si>
    <t>12.0501153207957</t>
  </si>
  <si>
    <t>6.32864693859592</t>
  </si>
  <si>
    <t>11.2450123037210</t>
  </si>
  <si>
    <t>10.3061691039518</t>
  </si>
  <si>
    <t>10.2881618644366</t>
  </si>
  <si>
    <t>13.4479211105507</t>
  </si>
  <si>
    <t>8.90076596303075</t>
  </si>
  <si>
    <t>5.91280557956692</t>
  </si>
  <si>
    <t>14.4187452950556</t>
  </si>
  <si>
    <t>1.54665803923880</t>
  </si>
  <si>
    <t>11.5169190636250</t>
  </si>
  <si>
    <t>7.41056960209535</t>
  </si>
  <si>
    <t>10.9002776793004</t>
  </si>
  <si>
    <t>D1-D2GFP</t>
  </si>
  <si>
    <t>long</t>
  </si>
  <si>
    <t>short</t>
  </si>
  <si>
    <t>cb1-ctrl=11; cb1-cre=16</t>
  </si>
  <si>
    <t>cb1-ctrl=13; cb1-cre = 9</t>
  </si>
  <si>
    <t># 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</si>
</sst>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20"/>
      <color theme="1"/>
      <name val="Calibri (Corps)_x0000_"/>
    </font>
    <font>
      <sz val="12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 (Corps)_x0000_"/>
    </font>
    <font>
      <sz val="12"/>
      <color theme="1"/>
      <name val="-apple-system-font"/>
    </font>
    <font>
      <sz val="12"/>
      <color theme="1"/>
      <name val="Calibri (Corps)"/>
    </font>
    <font>
      <i/>
      <sz val="12"/>
      <color theme="1"/>
      <name val="Calibri (Corps)_x0000_"/>
    </font>
    <font>
      <sz val="11"/>
      <color theme="1"/>
      <name val="Calibri"/>
      <family val="2"/>
      <scheme val="minor"/>
    </font>
    <font>
      <sz val="11"/>
      <color theme="1"/>
      <name val="Calibri (Corps)_x0000_"/>
    </font>
    <font>
      <b/>
      <sz val="12"/>
      <color rgb="FF00B050"/>
      <name val="Calibri"/>
      <family val="2"/>
      <scheme val="minor"/>
    </font>
    <font>
      <b/>
      <sz val="12"/>
      <color theme="1"/>
      <name val="Calibri (Corps)_x0000_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7">
    <xf numFmtId="0" fontId="0" fillId="0" borderId="0" xfId="0"/>
    <xf numFmtId="0" fontId="3" fillId="0" borderId="0" xfId="0" applyFont="1"/>
    <xf numFmtId="0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right"/>
    </xf>
    <xf numFmtId="0" fontId="0" fillId="3" borderId="0" xfId="0" applyFont="1" applyFill="1" applyAlignment="1">
      <alignment horizontal="right"/>
    </xf>
    <xf numFmtId="0" fontId="0" fillId="3" borderId="0" xfId="0" applyNumberFormat="1" applyFont="1" applyFill="1" applyAlignment="1">
      <alignment horizontal="right"/>
    </xf>
    <xf numFmtId="0" fontId="0" fillId="3" borderId="0" xfId="0" applyFill="1"/>
    <xf numFmtId="0" fontId="0" fillId="3" borderId="0" xfId="0" applyNumberFormat="1" applyFont="1" applyFill="1"/>
    <xf numFmtId="0" fontId="0" fillId="3" borderId="0" xfId="0" applyFont="1" applyFill="1" applyAlignment="1"/>
    <xf numFmtId="0" fontId="2" fillId="3" borderId="0" xfId="0" applyFont="1" applyFill="1"/>
    <xf numFmtId="0" fontId="0" fillId="3" borderId="0" xfId="0" applyFont="1" applyFill="1"/>
    <xf numFmtId="14" fontId="0" fillId="3" borderId="0" xfId="0" applyNumberFormat="1" applyFont="1" applyFill="1"/>
    <xf numFmtId="14" fontId="0" fillId="3" borderId="0" xfId="0" applyNumberForma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 applyAlignment="1">
      <alignment horizontal="left"/>
    </xf>
    <xf numFmtId="0" fontId="0" fillId="5" borderId="0" xfId="0" applyFill="1"/>
    <xf numFmtId="14" fontId="0" fillId="5" borderId="0" xfId="0" applyNumberFormat="1" applyFill="1"/>
    <xf numFmtId="0" fontId="0" fillId="5" borderId="0" xfId="0" applyFont="1" applyFill="1"/>
    <xf numFmtId="0" fontId="0" fillId="5" borderId="0" xfId="0" applyNumberFormat="1" applyFill="1"/>
    <xf numFmtId="14" fontId="0" fillId="3" borderId="0" xfId="0" applyNumberFormat="1" applyFont="1" applyFill="1" applyAlignment="1">
      <alignment horizontal="right"/>
    </xf>
    <xf numFmtId="0" fontId="0" fillId="2" borderId="0" xfId="0" applyNumberFormat="1" applyFont="1" applyFill="1"/>
    <xf numFmtId="0" fontId="0" fillId="0" borderId="0" xfId="0" applyFill="1"/>
    <xf numFmtId="0" fontId="2" fillId="3" borderId="0" xfId="0" applyFont="1" applyFill="1" applyBorder="1"/>
    <xf numFmtId="0" fontId="0" fillId="3" borderId="0" xfId="0" applyFont="1" applyFill="1" applyBorder="1"/>
    <xf numFmtId="0" fontId="0" fillId="3" borderId="0" xfId="0" applyNumberFormat="1" applyFont="1" applyFill="1" applyBorder="1" applyAlignment="1">
      <alignment horizontal="left"/>
    </xf>
    <xf numFmtId="0" fontId="0" fillId="3" borderId="0" xfId="0" applyFont="1" applyFill="1" applyBorder="1" applyAlignment="1">
      <alignment horizontal="left"/>
    </xf>
    <xf numFmtId="14" fontId="0" fillId="3" borderId="0" xfId="0" applyNumberFormat="1" applyFont="1" applyFill="1" applyBorder="1"/>
    <xf numFmtId="0" fontId="0" fillId="2" borderId="0" xfId="0" applyFont="1" applyFill="1" applyAlignment="1">
      <alignment horizontal="right"/>
    </xf>
    <xf numFmtId="0" fontId="0" fillId="3" borderId="0" xfId="0" applyFont="1" applyFill="1" applyAlignment="1">
      <alignment horizontal="left"/>
    </xf>
    <xf numFmtId="0" fontId="2" fillId="7" borderId="0" xfId="0" applyFont="1" applyFill="1"/>
    <xf numFmtId="0" fontId="5" fillId="7" borderId="0" xfId="0" applyFont="1" applyFill="1"/>
    <xf numFmtId="0" fontId="5" fillId="7" borderId="0" xfId="0" applyFont="1" applyFill="1" applyAlignment="1">
      <alignment horizontal="left"/>
    </xf>
    <xf numFmtId="0" fontId="6" fillId="7" borderId="0" xfId="0" applyFont="1" applyFill="1"/>
    <xf numFmtId="0" fontId="0" fillId="7" borderId="0" xfId="0" applyFill="1"/>
    <xf numFmtId="0" fontId="1" fillId="0" borderId="0" xfId="0" applyFont="1"/>
    <xf numFmtId="0" fontId="0" fillId="8" borderId="0" xfId="0" applyFont="1" applyFill="1"/>
    <xf numFmtId="2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left"/>
    </xf>
    <xf numFmtId="0" fontId="2" fillId="5" borderId="0" xfId="0" applyFont="1" applyFill="1" applyBorder="1"/>
    <xf numFmtId="0" fontId="0" fillId="5" borderId="0" xfId="0" applyFont="1" applyFill="1" applyBorder="1"/>
    <xf numFmtId="14" fontId="0" fillId="5" borderId="0" xfId="0" applyNumberFormat="1" applyFont="1" applyFill="1" applyBorder="1"/>
    <xf numFmtId="0" fontId="0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6" borderId="0" xfId="0" applyFont="1" applyFill="1"/>
    <xf numFmtId="0" fontId="0" fillId="9" borderId="0" xfId="0" applyFont="1" applyFill="1"/>
    <xf numFmtId="0" fontId="4" fillId="10" borderId="0" xfId="0" applyFont="1" applyFill="1"/>
    <xf numFmtId="0" fontId="10" fillId="3" borderId="0" xfId="0" applyFont="1" applyFill="1" applyBorder="1"/>
    <xf numFmtId="0" fontId="10" fillId="3" borderId="0" xfId="0" applyNumberFormat="1" applyFont="1" applyFill="1" applyBorder="1"/>
    <xf numFmtId="0" fontId="10" fillId="3" borderId="0" xfId="0" applyFont="1" applyFill="1"/>
    <xf numFmtId="0" fontId="10" fillId="2" borderId="0" xfId="0" applyFont="1" applyFill="1" applyBorder="1"/>
    <xf numFmtId="0" fontId="7" fillId="2" borderId="0" xfId="0" applyFont="1" applyFill="1"/>
    <xf numFmtId="0" fontId="7" fillId="2" borderId="0" xfId="0" applyFont="1" applyFill="1" applyBorder="1"/>
    <xf numFmtId="0" fontId="2" fillId="7" borderId="0" xfId="0" applyNumberFormat="1" applyFont="1" applyFill="1"/>
    <xf numFmtId="2" fontId="2" fillId="7" borderId="0" xfId="0" applyNumberFormat="1" applyFont="1" applyFill="1"/>
    <xf numFmtId="0" fontId="4" fillId="9" borderId="0" xfId="0" applyFont="1" applyFill="1"/>
    <xf numFmtId="2" fontId="0" fillId="2" borderId="0" xfId="0" applyNumberFormat="1" applyFont="1" applyFill="1"/>
    <xf numFmtId="0" fontId="8" fillId="11" borderId="0" xfId="0" applyFont="1" applyFill="1"/>
    <xf numFmtId="0" fontId="0" fillId="11" borderId="0" xfId="0" applyFill="1"/>
    <xf numFmtId="0" fontId="2" fillId="11" borderId="0" xfId="0" applyFont="1" applyFill="1"/>
    <xf numFmtId="0" fontId="2" fillId="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14" fontId="0" fillId="2" borderId="0" xfId="0" applyNumberFormat="1" applyFill="1" applyAlignment="1">
      <alignment horizontal="right"/>
    </xf>
    <xf numFmtId="14" fontId="0" fillId="2" borderId="0" xfId="0" applyNumberFormat="1" applyFont="1" applyFill="1" applyAlignment="1">
      <alignment horizontal="right"/>
    </xf>
    <xf numFmtId="0" fontId="0" fillId="2" borderId="0" xfId="0" applyFont="1" applyFill="1" applyAlignment="1"/>
    <xf numFmtId="0" fontId="2" fillId="12" borderId="0" xfId="0" applyFont="1" applyFill="1"/>
    <xf numFmtId="0" fontId="0" fillId="12" borderId="0" xfId="0" applyFill="1"/>
    <xf numFmtId="0" fontId="0" fillId="12" borderId="0" xfId="0" applyNumberFormat="1" applyFill="1" applyAlignment="1">
      <alignment horizontal="left"/>
    </xf>
    <xf numFmtId="14" fontId="0" fillId="12" borderId="0" xfId="0" applyNumberFormat="1" applyFill="1" applyAlignment="1">
      <alignment horizontal="right"/>
    </xf>
    <xf numFmtId="0" fontId="0" fillId="12" borderId="0" xfId="0" applyNumberFormat="1" applyFont="1" applyFill="1" applyAlignment="1">
      <alignment horizontal="right"/>
    </xf>
    <xf numFmtId="0" fontId="0" fillId="12" borderId="0" xfId="0" applyFont="1" applyFill="1"/>
    <xf numFmtId="0" fontId="0" fillId="12" borderId="0" xfId="0" applyNumberFormat="1" applyFont="1" applyFill="1" applyAlignment="1">
      <alignment horizontal="left"/>
    </xf>
    <xf numFmtId="14" fontId="0" fillId="12" borderId="0" xfId="0" applyNumberFormat="1" applyFont="1" applyFill="1" applyAlignment="1">
      <alignment horizontal="right"/>
    </xf>
    <xf numFmtId="0" fontId="0" fillId="12" borderId="0" xfId="0" applyFont="1" applyFill="1" applyAlignment="1">
      <alignment horizontal="right"/>
    </xf>
    <xf numFmtId="0" fontId="0" fillId="12" borderId="0" xfId="0" applyFont="1" applyFill="1" applyAlignment="1"/>
    <xf numFmtId="2" fontId="0" fillId="12" borderId="0" xfId="0" applyNumberFormat="1" applyFont="1" applyFill="1"/>
    <xf numFmtId="0" fontId="0" fillId="12" borderId="0" xfId="0" applyNumberFormat="1" applyFont="1" applyFill="1"/>
    <xf numFmtId="0" fontId="0" fillId="2" borderId="0" xfId="0" applyFont="1" applyFill="1" applyAlignment="1">
      <alignment wrapText="1"/>
    </xf>
    <xf numFmtId="0" fontId="2" fillId="2" borderId="0" xfId="0" applyFont="1" applyFill="1" applyBorder="1"/>
    <xf numFmtId="0" fontId="0" fillId="2" borderId="0" xfId="0" applyFont="1" applyFill="1" applyBorder="1"/>
    <xf numFmtId="0" fontId="0" fillId="2" borderId="0" xfId="0" applyNumberFormat="1" applyFont="1" applyFill="1" applyBorder="1" applyAlignment="1">
      <alignment horizontal="left"/>
    </xf>
    <xf numFmtId="14" fontId="0" fillId="2" borderId="0" xfId="0" applyNumberFormat="1" applyFont="1" applyFill="1" applyBorder="1"/>
    <xf numFmtId="0" fontId="12" fillId="3" borderId="0" xfId="0" applyFont="1" applyFill="1" applyAlignment="1">
      <alignment horizontal="right"/>
    </xf>
    <xf numFmtId="2" fontId="0" fillId="3" borderId="0" xfId="0" applyNumberFormat="1" applyFont="1" applyFill="1"/>
    <xf numFmtId="0" fontId="0" fillId="11" borderId="0" xfId="0" applyFont="1" applyFill="1"/>
    <xf numFmtId="0" fontId="0" fillId="0" borderId="0" xfId="0" applyFont="1" applyFill="1"/>
    <xf numFmtId="0" fontId="0" fillId="2" borderId="0" xfId="0" applyFont="1" applyFill="1" applyAlignment="1">
      <alignment horizontal="left"/>
    </xf>
    <xf numFmtId="0" fontId="0" fillId="4" borderId="0" xfId="0" applyNumberFormat="1" applyFont="1" applyFill="1"/>
    <xf numFmtId="0" fontId="0" fillId="9" borderId="0" xfId="0" applyNumberFormat="1" applyFont="1" applyFill="1"/>
    <xf numFmtId="0" fontId="0" fillId="4" borderId="0" xfId="0" applyFont="1" applyFill="1"/>
    <xf numFmtId="0" fontId="10" fillId="2" borderId="0" xfId="0" applyNumberFormat="1" applyFont="1" applyFill="1"/>
    <xf numFmtId="0" fontId="10" fillId="2" borderId="0" xfId="0" applyFont="1" applyFill="1"/>
    <xf numFmtId="0" fontId="0" fillId="7" borderId="0" xfId="0" applyFont="1" applyFill="1"/>
    <xf numFmtId="0" fontId="0" fillId="7" borderId="0" xfId="0" applyFont="1" applyFill="1" applyAlignment="1">
      <alignment horizontal="right"/>
    </xf>
    <xf numFmtId="0" fontId="0" fillId="7" borderId="0" xfId="0" applyFont="1" applyFill="1" applyAlignment="1"/>
    <xf numFmtId="2" fontId="0" fillId="7" borderId="0" xfId="0" applyNumberFormat="1" applyFont="1" applyFill="1"/>
    <xf numFmtId="2" fontId="0" fillId="12" borderId="0" xfId="0" applyNumberFormat="1" applyFont="1" applyFill="1" applyAlignment="1">
      <alignment horizontal="right"/>
    </xf>
    <xf numFmtId="0" fontId="0" fillId="13" borderId="0" xfId="0" applyFont="1" applyFill="1"/>
    <xf numFmtId="0" fontId="0" fillId="12" borderId="0" xfId="0" quotePrefix="1" applyFont="1" applyFill="1" applyAlignment="1">
      <alignment horizontal="right"/>
    </xf>
    <xf numFmtId="0" fontId="0" fillId="3" borderId="0" xfId="0" quotePrefix="1" applyNumberFormat="1" applyFont="1" applyFill="1"/>
    <xf numFmtId="2" fontId="0" fillId="4" borderId="0" xfId="0" applyNumberFormat="1" applyFont="1" applyFill="1"/>
    <xf numFmtId="0" fontId="0" fillId="3" borderId="0" xfId="0" applyNumberFormat="1" applyFont="1" applyFill="1" applyAlignment="1"/>
    <xf numFmtId="14" fontId="0" fillId="3" borderId="0" xfId="0" applyNumberFormat="1" applyFill="1" applyAlignment="1">
      <alignment horizontal="left"/>
    </xf>
    <xf numFmtId="14" fontId="0" fillId="3" borderId="0" xfId="0" applyNumberFormat="1" applyFont="1" applyFill="1" applyBorder="1" applyAlignment="1">
      <alignment horizontal="left"/>
    </xf>
    <xf numFmtId="0" fontId="2" fillId="11" borderId="0" xfId="0" applyNumberFormat="1" applyFont="1" applyFill="1" applyAlignment="1">
      <alignment horizontal="left"/>
    </xf>
    <xf numFmtId="0" fontId="0" fillId="11" borderId="0" xfId="0" applyNumberFormat="1" applyFill="1" applyAlignment="1">
      <alignment horizontal="left"/>
    </xf>
    <xf numFmtId="14" fontId="0" fillId="11" borderId="0" xfId="0" applyNumberFormat="1" applyFill="1" applyAlignment="1">
      <alignment horizontal="right"/>
    </xf>
    <xf numFmtId="0" fontId="0" fillId="11" borderId="0" xfId="0" applyFont="1" applyFill="1" applyAlignment="1">
      <alignment horizontal="right"/>
    </xf>
    <xf numFmtId="0" fontId="0" fillId="11" borderId="0" xfId="0" applyNumberFormat="1" applyFont="1" applyFill="1" applyAlignment="1">
      <alignment horizontal="right"/>
    </xf>
    <xf numFmtId="0" fontId="0" fillId="11" borderId="0" xfId="0" applyFont="1" applyFill="1" applyAlignment="1"/>
    <xf numFmtId="0" fontId="0" fillId="11" borderId="0" xfId="0" applyFont="1" applyFill="1" applyAlignment="1">
      <alignment horizontal="left"/>
    </xf>
    <xf numFmtId="0" fontId="0" fillId="11" borderId="0" xfId="0" applyNumberFormat="1" applyFont="1" applyFill="1"/>
    <xf numFmtId="0" fontId="9" fillId="11" borderId="0" xfId="0" applyFont="1" applyFill="1" applyBorder="1"/>
    <xf numFmtId="0" fontId="0" fillId="11" borderId="0" xfId="0" applyFont="1" applyFill="1" applyBorder="1"/>
    <xf numFmtId="0" fontId="10" fillId="11" borderId="0" xfId="0" applyFont="1" applyFill="1" applyBorder="1"/>
    <xf numFmtId="0" fontId="0" fillId="14" borderId="0" xfId="0" applyFont="1" applyFill="1"/>
    <xf numFmtId="0" fontId="9" fillId="11" borderId="0" xfId="0" applyNumberFormat="1" applyFont="1" applyFill="1" applyBorder="1"/>
    <xf numFmtId="0" fontId="10" fillId="11" borderId="0" xfId="0" applyNumberFormat="1" applyFont="1" applyFill="1" applyBorder="1"/>
    <xf numFmtId="0" fontId="0" fillId="11" borderId="0" xfId="0" applyNumberFormat="1" applyFont="1" applyFill="1" applyBorder="1"/>
    <xf numFmtId="0" fontId="0" fillId="11" borderId="0" xfId="0" applyNumberFormat="1" applyFont="1" applyFill="1" applyAlignment="1">
      <alignment horizontal="left"/>
    </xf>
    <xf numFmtId="14" fontId="0" fillId="11" borderId="0" xfId="0" applyNumberFormat="1" applyFont="1" applyFill="1"/>
    <xf numFmtId="0" fontId="10" fillId="11" borderId="0" xfId="0" applyFont="1" applyFill="1"/>
    <xf numFmtId="14" fontId="0" fillId="11" borderId="0" xfId="0" applyNumberFormat="1" applyFill="1"/>
    <xf numFmtId="0" fontId="14" fillId="11" borderId="0" xfId="0" applyFont="1" applyFill="1"/>
    <xf numFmtId="0" fontId="15" fillId="11" borderId="0" xfId="0" applyFont="1" applyFill="1"/>
    <xf numFmtId="0" fontId="0" fillId="11" borderId="0" xfId="0" applyFill="1" applyAlignment="1">
      <alignment horizontal="left"/>
    </xf>
    <xf numFmtId="14" fontId="0" fillId="11" borderId="0" xfId="0" applyNumberFormat="1" applyFill="1" applyAlignment="1">
      <alignment horizontal="left"/>
    </xf>
    <xf numFmtId="0" fontId="0" fillId="14" borderId="0" xfId="0" applyFont="1" applyFill="1" applyAlignment="1">
      <alignment horizontal="right"/>
    </xf>
    <xf numFmtId="0" fontId="3" fillId="11" borderId="0" xfId="0" applyNumberFormat="1" applyFont="1" applyFill="1" applyAlignment="1">
      <alignment horizontal="left"/>
    </xf>
    <xf numFmtId="14" fontId="0" fillId="11" borderId="0" xfId="0" applyNumberFormat="1" applyFont="1" applyFill="1" applyAlignment="1">
      <alignment horizontal="right"/>
    </xf>
    <xf numFmtId="0" fontId="0" fillId="14" borderId="0" xfId="0" applyNumberFormat="1" applyFont="1" applyFill="1"/>
    <xf numFmtId="0" fontId="11" fillId="11" borderId="0" xfId="0" applyFont="1" applyFill="1" applyBorder="1"/>
    <xf numFmtId="0" fontId="10" fillId="11" borderId="0" xfId="0" applyNumberFormat="1" applyFont="1" applyFill="1"/>
    <xf numFmtId="0" fontId="2" fillId="11" borderId="0" xfId="0" applyFont="1" applyFill="1" applyBorder="1"/>
    <xf numFmtId="0" fontId="0" fillId="11" borderId="0" xfId="0" applyNumberFormat="1" applyFont="1" applyFill="1" applyBorder="1" applyAlignment="1">
      <alignment horizontal="left"/>
    </xf>
    <xf numFmtId="0" fontId="0" fillId="11" borderId="0" xfId="0" applyFont="1" applyFill="1" applyBorder="1" applyAlignment="1">
      <alignment horizontal="left"/>
    </xf>
    <xf numFmtId="14" fontId="0" fillId="11" borderId="0" xfId="0" applyNumberFormat="1" applyFont="1" applyFill="1" applyBorder="1"/>
    <xf numFmtId="2" fontId="0" fillId="11" borderId="0" xfId="0" applyNumberFormat="1" applyFont="1" applyFill="1"/>
    <xf numFmtId="0" fontId="2" fillId="11" borderId="0" xfId="0" applyNumberFormat="1" applyFont="1" applyFill="1"/>
    <xf numFmtId="0" fontId="10" fillId="11" borderId="0" xfId="0" quotePrefix="1" applyNumberFormat="1" applyFont="1" applyFill="1"/>
    <xf numFmtId="0" fontId="2" fillId="11" borderId="0" xfId="0" applyFont="1" applyFill="1" applyAlignment="1"/>
    <xf numFmtId="2" fontId="0" fillId="3" borderId="0" xfId="0" applyNumberFormat="1" applyFont="1" applyFill="1" applyAlignment="1">
      <alignment horizontal="right"/>
    </xf>
    <xf numFmtId="2" fontId="0" fillId="2" borderId="0" xfId="0" applyNumberFormat="1" applyFont="1" applyFill="1" applyAlignment="1">
      <alignment horizontal="right"/>
    </xf>
    <xf numFmtId="0" fontId="1" fillId="2" borderId="0" xfId="0" applyFont="1" applyFill="1" applyBorder="1"/>
    <xf numFmtId="0" fontId="14" fillId="2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horizontal="right"/>
    </xf>
    <xf numFmtId="2" fontId="0" fillId="2" borderId="0" xfId="0" applyNumberFormat="1" applyFont="1" applyFill="1" applyBorder="1" applyAlignment="1">
      <alignment horizontal="right"/>
    </xf>
    <xf numFmtId="0" fontId="0" fillId="2" borderId="0" xfId="0" applyFill="1" applyBorder="1"/>
    <xf numFmtId="0" fontId="1" fillId="3" borderId="0" xfId="0" applyFont="1" applyFill="1" applyBorder="1"/>
    <xf numFmtId="0" fontId="14" fillId="3" borderId="0" xfId="0" applyFont="1" applyFill="1" applyBorder="1" applyAlignment="1">
      <alignment horizontal="right"/>
    </xf>
    <xf numFmtId="0" fontId="14" fillId="3" borderId="0" xfId="0" applyFont="1" applyFill="1" applyBorder="1"/>
    <xf numFmtId="0" fontId="0" fillId="3" borderId="0" xfId="0" applyFont="1" applyFill="1" applyBorder="1" applyAlignment="1">
      <alignment horizontal="right"/>
    </xf>
    <xf numFmtId="2" fontId="0" fillId="3" borderId="0" xfId="0" applyNumberFormat="1" applyFont="1" applyFill="1" applyBorder="1" applyAlignment="1">
      <alignment horizontal="right"/>
    </xf>
    <xf numFmtId="0" fontId="14" fillId="2" borderId="0" xfId="0" applyFont="1" applyFill="1" applyBorder="1"/>
    <xf numFmtId="0" fontId="0" fillId="3" borderId="0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4" fillId="2" borderId="0" xfId="0" applyFont="1" applyFill="1" applyBorder="1" applyAlignment="1">
      <alignment horizontal="left"/>
    </xf>
    <xf numFmtId="0" fontId="14" fillId="3" borderId="0" xfId="0" applyFont="1" applyFill="1" applyBorder="1" applyAlignment="1">
      <alignment horizontal="left"/>
    </xf>
    <xf numFmtId="0" fontId="8" fillId="15" borderId="0" xfId="0" applyFont="1" applyFill="1"/>
    <xf numFmtId="0" fontId="0" fillId="15" borderId="0" xfId="0" applyFont="1" applyFill="1"/>
    <xf numFmtId="0" fontId="8" fillId="8" borderId="0" xfId="0" applyFont="1" applyFill="1"/>
    <xf numFmtId="0" fontId="8" fillId="0" borderId="0" xfId="0" applyFont="1" applyFill="1"/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horizontal="left"/>
    </xf>
    <xf numFmtId="14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/>
    <xf numFmtId="0" fontId="2" fillId="0" borderId="0" xfId="0" applyFont="1" applyFill="1"/>
    <xf numFmtId="0" fontId="2" fillId="0" borderId="0" xfId="0" applyNumberFormat="1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14" fontId="0" fillId="2" borderId="0" xfId="0" applyNumberFormat="1" applyFont="1" applyFill="1"/>
    <xf numFmtId="14" fontId="0" fillId="4" borderId="0" xfId="0" applyNumberFormat="1" applyFont="1" applyFill="1" applyAlignment="1">
      <alignment horizontal="right"/>
    </xf>
    <xf numFmtId="0" fontId="0" fillId="4" borderId="0" xfId="0" applyFont="1" applyFill="1" applyAlignment="1"/>
    <xf numFmtId="0" fontId="0" fillId="10" borderId="0" xfId="0" applyFont="1" applyFill="1"/>
    <xf numFmtId="0" fontId="3" fillId="5" borderId="0" xfId="0" applyFont="1" applyFill="1" applyAlignment="1"/>
    <xf numFmtId="0" fontId="1" fillId="0" borderId="0" xfId="0" applyFont="1" applyFill="1"/>
    <xf numFmtId="0" fontId="0" fillId="0" borderId="0" xfId="0" applyFont="1" applyFill="1" applyBorder="1"/>
    <xf numFmtId="14" fontId="0" fillId="0" borderId="0" xfId="0" applyNumberFormat="1" applyFill="1"/>
    <xf numFmtId="2" fontId="0" fillId="0" borderId="0" xfId="0" applyNumberFormat="1" applyFill="1"/>
    <xf numFmtId="0" fontId="4" fillId="0" borderId="0" xfId="0" applyFont="1"/>
    <xf numFmtId="0" fontId="0" fillId="2" borderId="0" xfId="0" applyFill="1" applyBorder="1" applyAlignment="1">
      <alignment horizontal="right"/>
    </xf>
    <xf numFmtId="14" fontId="4" fillId="3" borderId="0" xfId="0" applyNumberFormat="1" applyFont="1" applyFill="1"/>
    <xf numFmtId="0" fontId="17" fillId="2" borderId="0" xfId="0" applyNumberFormat="1" applyFont="1" applyFill="1" applyAlignment="1"/>
    <xf numFmtId="0" fontId="10" fillId="2" borderId="0" xfId="0" applyNumberFormat="1" applyFont="1" applyFill="1" applyAlignment="1">
      <alignment horizontal="left"/>
    </xf>
    <xf numFmtId="0" fontId="10" fillId="2" borderId="0" xfId="0" applyNumberFormat="1" applyFont="1" applyFill="1" applyAlignment="1"/>
    <xf numFmtId="14" fontId="10" fillId="2" borderId="0" xfId="0" applyNumberFormat="1" applyFont="1" applyFill="1" applyAlignment="1">
      <alignment horizontal="right"/>
    </xf>
    <xf numFmtId="2" fontId="10" fillId="2" borderId="0" xfId="0" applyNumberFormat="1" applyFont="1" applyFill="1"/>
    <xf numFmtId="0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10" fillId="2" borderId="0" xfId="0" applyFont="1" applyFill="1" applyAlignment="1"/>
    <xf numFmtId="0" fontId="17" fillId="2" borderId="0" xfId="0" applyFont="1" applyFill="1" applyAlignment="1"/>
    <xf numFmtId="0" fontId="10" fillId="2" borderId="0" xfId="0" applyFont="1" applyFill="1" applyAlignment="1">
      <alignment horizontal="left"/>
    </xf>
    <xf numFmtId="0" fontId="10" fillId="9" borderId="0" xfId="0" applyNumberFormat="1" applyFont="1" applyFill="1" applyAlignment="1">
      <alignment horizontal="right"/>
    </xf>
    <xf numFmtId="0" fontId="10" fillId="9" borderId="0" xfId="0" applyFont="1" applyFill="1"/>
    <xf numFmtId="14" fontId="10" fillId="2" borderId="0" xfId="0" applyNumberFormat="1" applyFont="1" applyFill="1"/>
    <xf numFmtId="14" fontId="10" fillId="2" borderId="0" xfId="0" applyNumberFormat="1" applyFont="1" applyFill="1" applyBorder="1"/>
    <xf numFmtId="0" fontId="17" fillId="3" borderId="0" xfId="0" applyFont="1" applyFill="1" applyAlignment="1"/>
    <xf numFmtId="0" fontId="10" fillId="3" borderId="0" xfId="0" applyFont="1" applyFill="1" applyAlignment="1">
      <alignment horizontal="left"/>
    </xf>
    <xf numFmtId="0" fontId="10" fillId="3" borderId="0" xfId="0" applyNumberFormat="1" applyFont="1" applyFill="1" applyAlignment="1">
      <alignment horizontal="left"/>
    </xf>
    <xf numFmtId="0" fontId="10" fillId="3" borderId="0" xfId="0" applyNumberFormat="1" applyFont="1" applyFill="1" applyAlignment="1"/>
    <xf numFmtId="14" fontId="10" fillId="3" borderId="0" xfId="0" applyNumberFormat="1" applyFont="1" applyFill="1" applyAlignment="1">
      <alignment horizontal="right"/>
    </xf>
    <xf numFmtId="0" fontId="10" fillId="3" borderId="0" xfId="0" applyNumberFormat="1" applyFont="1" applyFill="1"/>
    <xf numFmtId="2" fontId="10" fillId="3" borderId="0" xfId="0" applyNumberFormat="1" applyFont="1" applyFill="1"/>
    <xf numFmtId="0" fontId="10" fillId="3" borderId="0" xfId="0" applyFont="1" applyFill="1" applyAlignment="1">
      <alignment horizontal="right"/>
    </xf>
    <xf numFmtId="0" fontId="10" fillId="3" borderId="0" xfId="0" applyNumberFormat="1" applyFont="1" applyFill="1" applyAlignment="1">
      <alignment horizontal="right"/>
    </xf>
    <xf numFmtId="0" fontId="10" fillId="3" borderId="0" xfId="0" applyFont="1" applyFill="1" applyAlignment="1"/>
    <xf numFmtId="14" fontId="10" fillId="3" borderId="0" xfId="0" applyNumberFormat="1" applyFont="1" applyFill="1"/>
    <xf numFmtId="0" fontId="17" fillId="3" borderId="0" xfId="0" applyFont="1" applyFill="1"/>
    <xf numFmtId="0" fontId="10" fillId="4" borderId="0" xfId="0" applyFont="1" applyFill="1"/>
    <xf numFmtId="14" fontId="10" fillId="4" borderId="0" xfId="0" applyNumberFormat="1" applyFont="1" applyFill="1" applyAlignment="1">
      <alignment horizontal="right"/>
    </xf>
    <xf numFmtId="0" fontId="17" fillId="2" borderId="0" xfId="0" applyFont="1" applyFill="1" applyBorder="1" applyAlignment="1"/>
    <xf numFmtId="0" fontId="10" fillId="2" borderId="0" xfId="0" applyFont="1" applyFill="1" applyBorder="1" applyAlignment="1">
      <alignment horizontal="left"/>
    </xf>
    <xf numFmtId="0" fontId="10" fillId="2" borderId="0" xfId="0" applyNumberFormat="1" applyFont="1" applyFill="1" applyBorder="1" applyAlignment="1"/>
    <xf numFmtId="0" fontId="17" fillId="2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0" fillId="4" borderId="0" xfId="0" applyNumberFormat="1" applyFont="1" applyFill="1" applyAlignment="1"/>
    <xf numFmtId="0" fontId="10" fillId="4" borderId="0" xfId="0" applyFont="1" applyFill="1" applyAlignment="1"/>
    <xf numFmtId="2" fontId="10" fillId="3" borderId="0" xfId="0" applyNumberFormat="1" applyFont="1" applyFill="1" applyAlignment="1">
      <alignment horizontal="right"/>
    </xf>
    <xf numFmtId="2" fontId="10" fillId="2" borderId="0" xfId="0" applyNumberFormat="1" applyFont="1" applyFill="1" applyAlignment="1">
      <alignment horizontal="right"/>
    </xf>
    <xf numFmtId="0" fontId="10" fillId="2" borderId="0" xfId="0" applyFont="1" applyFill="1" applyBorder="1" applyAlignment="1">
      <alignment horizontal="right"/>
    </xf>
    <xf numFmtId="2" fontId="10" fillId="2" borderId="0" xfId="0" applyNumberFormat="1" applyFont="1" applyFill="1" applyBorder="1" applyAlignment="1">
      <alignment horizontal="right"/>
    </xf>
    <xf numFmtId="0" fontId="15" fillId="3" borderId="0" xfId="0" applyFont="1" applyFill="1" applyBorder="1" applyAlignment="1">
      <alignment horizontal="right"/>
    </xf>
    <xf numFmtId="0" fontId="15" fillId="3" borderId="0" xfId="0" applyFont="1" applyFill="1" applyBorder="1"/>
    <xf numFmtId="0" fontId="10" fillId="3" borderId="0" xfId="0" applyFont="1" applyFill="1" applyBorder="1" applyAlignment="1">
      <alignment horizontal="right"/>
    </xf>
    <xf numFmtId="2" fontId="10" fillId="3" borderId="0" xfId="0" applyNumberFormat="1" applyFont="1" applyFill="1" applyBorder="1" applyAlignment="1">
      <alignment horizontal="right"/>
    </xf>
    <xf numFmtId="0" fontId="15" fillId="2" borderId="0" xfId="0" applyFont="1" applyFill="1" applyBorder="1" applyAlignment="1">
      <alignment horizontal="right"/>
    </xf>
    <xf numFmtId="0" fontId="15" fillId="2" borderId="0" xfId="0" applyFont="1" applyFill="1" applyBorder="1"/>
    <xf numFmtId="0" fontId="13" fillId="3" borderId="0" xfId="0" applyFont="1" applyFill="1" applyBorder="1"/>
    <xf numFmtId="2" fontId="10" fillId="2" borderId="0" xfId="0" applyNumberFormat="1" applyFont="1" applyFill="1" applyAlignment="1"/>
    <xf numFmtId="2" fontId="10" fillId="3" borderId="0" xfId="0" applyNumberFormat="1" applyFont="1" applyFill="1" applyBorder="1"/>
    <xf numFmtId="0" fontId="17" fillId="2" borderId="0" xfId="0" applyFont="1" applyFill="1"/>
    <xf numFmtId="0" fontId="17" fillId="2" borderId="0" xfId="0" applyFont="1" applyFill="1" applyBorder="1"/>
    <xf numFmtId="0" fontId="17" fillId="3" borderId="0" xfId="0" applyFont="1" applyFill="1" applyBorder="1"/>
    <xf numFmtId="0" fontId="0" fillId="2" borderId="0" xfId="0" applyFill="1" applyBorder="1" applyAlignment="1">
      <alignment horizontal="left"/>
    </xf>
    <xf numFmtId="14" fontId="0" fillId="2" borderId="0" xfId="0" applyNumberFormat="1" applyFill="1" applyBorder="1"/>
    <xf numFmtId="0" fontId="16" fillId="2" borderId="0" xfId="0" applyFont="1" applyFill="1"/>
    <xf numFmtId="14" fontId="7" fillId="2" borderId="0" xfId="0" applyNumberFormat="1" applyFont="1" applyFill="1"/>
    <xf numFmtId="14" fontId="4" fillId="2" borderId="0" xfId="0" applyNumberFormat="1" applyFont="1" applyFill="1"/>
    <xf numFmtId="0" fontId="16" fillId="2" borderId="0" xfId="0" applyFont="1" applyFill="1" applyBorder="1"/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/>
    <xf numFmtId="0" fontId="0" fillId="5" borderId="0" xfId="0" applyFont="1" applyFill="1" applyBorder="1" applyAlignment="1">
      <alignment horizontal="left"/>
    </xf>
    <xf numFmtId="14" fontId="0" fillId="5" borderId="0" xfId="0" applyNumberFormat="1" applyFill="1" applyBorder="1"/>
    <xf numFmtId="0" fontId="0" fillId="5" borderId="0" xfId="0" applyFill="1" applyBorder="1"/>
    <xf numFmtId="0" fontId="0" fillId="5" borderId="0" xfId="0" applyFill="1" applyBorder="1" applyAlignment="1">
      <alignment horizontal="left"/>
    </xf>
    <xf numFmtId="0" fontId="0" fillId="11" borderId="0" xfId="0" applyFill="1" applyBorder="1" applyAlignment="1">
      <alignment horizontal="left"/>
    </xf>
    <xf numFmtId="0" fontId="0" fillId="11" borderId="0" xfId="0" applyFill="1" applyBorder="1"/>
    <xf numFmtId="14" fontId="0" fillId="11" borderId="0" xfId="0" applyNumberFormat="1" applyFill="1" applyBorder="1"/>
    <xf numFmtId="0" fontId="3" fillId="5" borderId="0" xfId="0" applyFont="1" applyFill="1"/>
    <xf numFmtId="0" fontId="0" fillId="2" borderId="0" xfId="0" applyFont="1" applyFill="1" applyBorder="1" applyAlignment="1"/>
    <xf numFmtId="0" fontId="0" fillId="2" borderId="0" xfId="0" applyFill="1" applyBorder="1" applyAlignment="1"/>
    <xf numFmtId="0" fontId="0" fillId="3" borderId="0" xfId="0" applyFont="1" applyFill="1" applyBorder="1" applyAlignment="1"/>
    <xf numFmtId="0" fontId="0" fillId="3" borderId="0" xfId="0" applyFill="1" applyBorder="1" applyAlignment="1"/>
    <xf numFmtId="0" fontId="7" fillId="2" borderId="0" xfId="0" applyFont="1" applyFill="1" applyBorder="1" applyAlignment="1"/>
    <xf numFmtId="0" fontId="4" fillId="4" borderId="0" xfId="0" applyFont="1" applyFill="1" applyBorder="1"/>
    <xf numFmtId="0" fontId="7" fillId="9" borderId="0" xfId="0" applyFont="1" applyFill="1" applyBorder="1"/>
    <xf numFmtId="0" fontId="4" fillId="9" borderId="0" xfId="0" applyFont="1" applyFill="1" applyBorder="1"/>
    <xf numFmtId="0" fontId="7" fillId="2" borderId="0" xfId="0" applyNumberFormat="1" applyFont="1" applyFill="1" applyBorder="1" applyAlignment="1"/>
    <xf numFmtId="0" fontId="7" fillId="2" borderId="0" xfId="0" applyFont="1" applyFill="1" applyBorder="1" applyAlignment="1">
      <alignment horizontal="right"/>
    </xf>
    <xf numFmtId="0" fontId="0" fillId="5" borderId="0" xfId="0" applyNumberFormat="1" applyFont="1" applyFill="1" applyBorder="1" applyAlignment="1"/>
    <xf numFmtId="0" fontId="4" fillId="5" borderId="0" xfId="0" applyFont="1" applyFill="1" applyBorder="1" applyAlignment="1"/>
    <xf numFmtId="0" fontId="0" fillId="5" borderId="0" xfId="0" applyFont="1" applyFill="1" applyBorder="1" applyAlignment="1">
      <alignment horizontal="right"/>
    </xf>
    <xf numFmtId="0" fontId="0" fillId="5" borderId="0" xfId="0" applyFont="1" applyFill="1" applyBorder="1" applyAlignment="1"/>
    <xf numFmtId="0" fontId="0" fillId="5" borderId="0" xfId="0" applyFill="1" applyBorder="1" applyAlignment="1"/>
    <xf numFmtId="0" fontId="1" fillId="5" borderId="0" xfId="0" applyFont="1" applyFill="1" applyBorder="1"/>
    <xf numFmtId="0" fontId="0" fillId="11" borderId="0" xfId="0" applyFont="1" applyFill="1" applyBorder="1" applyAlignment="1"/>
    <xf numFmtId="0" fontId="0" fillId="11" borderId="0" xfId="0" applyFill="1" applyBorder="1" applyAlignment="1"/>
    <xf numFmtId="0" fontId="1" fillId="11" borderId="0" xfId="0" applyFont="1" applyFill="1" applyBorder="1"/>
    <xf numFmtId="0" fontId="4" fillId="0" borderId="0" xfId="0" applyFont="1" applyFill="1"/>
    <xf numFmtId="0" fontId="11" fillId="0" borderId="0" xfId="0" applyFont="1" applyFill="1"/>
    <xf numFmtId="0" fontId="7" fillId="11" borderId="0" xfId="0" applyFont="1" applyFill="1"/>
    <xf numFmtId="0" fontId="7" fillId="2" borderId="0" xfId="0" applyFont="1" applyFill="1" applyAlignment="1">
      <alignment horizontal="right"/>
    </xf>
    <xf numFmtId="0" fontId="11" fillId="2" borderId="0" xfId="0" applyFont="1" applyFill="1"/>
    <xf numFmtId="0" fontId="0" fillId="3" borderId="0" xfId="0" applyFont="1" applyFill="1" applyAlignment="1">
      <alignment wrapText="1"/>
    </xf>
    <xf numFmtId="14" fontId="1" fillId="0" borderId="0" xfId="0" applyNumberFormat="1" applyFont="1" applyFill="1"/>
    <xf numFmtId="14" fontId="0" fillId="0" borderId="0" xfId="0" applyNumberFormat="1"/>
    <xf numFmtId="0" fontId="0" fillId="0" borderId="0" xfId="0" applyFont="1" applyAlignment="1">
      <alignment horizontal="right"/>
    </xf>
    <xf numFmtId="0" fontId="0" fillId="0" borderId="0" xfId="0" applyNumberFormat="1" applyFont="1"/>
    <xf numFmtId="0" fontId="10" fillId="2" borderId="0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428A-76F4-E148-B46D-7F9789A4DFCC}">
  <dimension ref="A1:CP132"/>
  <sheetViews>
    <sheetView tabSelected="1" topLeftCell="L1" workbookViewId="0">
      <selection activeCell="Q7" sqref="Q7"/>
    </sheetView>
  </sheetViews>
  <sheetFormatPr baseColWidth="10" defaultRowHeight="16"/>
  <cols>
    <col min="4" max="4" width="7.33203125" customWidth="1"/>
    <col min="9" max="9" width="15.83203125" style="40" customWidth="1"/>
    <col min="10" max="53" width="10.83203125" style="40"/>
    <col min="55" max="63" width="10.83203125" style="40"/>
    <col min="64" max="65" width="17.83203125" style="40" customWidth="1"/>
    <col min="66" max="66" width="10.83203125" style="40"/>
    <col min="67" max="71" width="17.83203125" style="40" customWidth="1"/>
    <col min="72" max="94" width="10.83203125" style="40"/>
  </cols>
  <sheetData>
    <row r="1" spans="1:94" ht="21">
      <c r="I1" s="165" t="s">
        <v>268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C1" s="163" t="s">
        <v>271</v>
      </c>
      <c r="BD1" s="164"/>
      <c r="BE1" s="164"/>
      <c r="BF1" s="164"/>
      <c r="BG1" s="164"/>
      <c r="BH1" s="164"/>
      <c r="BI1" s="164"/>
      <c r="BJ1" s="164"/>
      <c r="BK1" s="164"/>
      <c r="BL1" s="164"/>
      <c r="BM1" s="163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164"/>
      <c r="CE1" s="164"/>
      <c r="CF1" s="164"/>
      <c r="CG1" s="164"/>
      <c r="CH1" s="164"/>
      <c r="CI1" s="164"/>
      <c r="CJ1" s="164"/>
      <c r="CK1" s="164"/>
      <c r="CL1" s="164"/>
      <c r="CM1" s="164"/>
      <c r="CN1" s="164"/>
      <c r="CO1" s="164"/>
    </row>
    <row r="2" spans="1:94" ht="21">
      <c r="I2" s="61" t="s">
        <v>270</v>
      </c>
      <c r="J2" s="88"/>
      <c r="K2" s="88"/>
      <c r="L2" s="88"/>
      <c r="M2" s="88"/>
      <c r="N2" s="88"/>
      <c r="O2" s="88"/>
      <c r="P2" s="88"/>
      <c r="Q2" s="88"/>
      <c r="R2" s="61"/>
      <c r="T2" s="89"/>
      <c r="BC2" s="61" t="s">
        <v>270</v>
      </c>
      <c r="BD2" s="88"/>
      <c r="BE2" s="88"/>
      <c r="BF2" s="88"/>
      <c r="BG2" s="88"/>
      <c r="BH2" s="88"/>
      <c r="BI2" s="88"/>
      <c r="BJ2" s="88"/>
      <c r="BK2" s="88"/>
      <c r="BL2" s="61"/>
      <c r="BM2" s="166"/>
      <c r="BN2" s="89"/>
      <c r="BO2" s="166"/>
      <c r="BP2" s="166"/>
      <c r="BQ2" s="166"/>
      <c r="BR2" s="166"/>
      <c r="BS2" s="166"/>
    </row>
    <row r="3" spans="1:94" s="24" customFormat="1">
      <c r="A3" s="167" t="s">
        <v>0</v>
      </c>
      <c r="B3" s="168" t="s">
        <v>1</v>
      </c>
      <c r="C3" s="168" t="s">
        <v>2</v>
      </c>
      <c r="D3" s="168" t="s">
        <v>3</v>
      </c>
      <c r="E3" s="169" t="s">
        <v>4</v>
      </c>
      <c r="F3" s="169" t="s">
        <v>5</v>
      </c>
      <c r="G3" s="169" t="s">
        <v>584</v>
      </c>
      <c r="H3" s="171" t="s">
        <v>15</v>
      </c>
      <c r="I3" s="168" t="s">
        <v>6</v>
      </c>
      <c r="J3" s="168" t="s">
        <v>7</v>
      </c>
      <c r="K3" s="168" t="s">
        <v>8</v>
      </c>
      <c r="L3" s="168" t="s">
        <v>9</v>
      </c>
      <c r="M3" s="168" t="s">
        <v>10</v>
      </c>
      <c r="N3" s="168" t="s">
        <v>11</v>
      </c>
      <c r="O3" s="171" t="s">
        <v>12</v>
      </c>
      <c r="P3" s="171" t="s">
        <v>13</v>
      </c>
      <c r="Q3" s="171" t="s">
        <v>14</v>
      </c>
      <c r="R3" s="172" t="s">
        <v>272</v>
      </c>
      <c r="S3" s="172" t="s">
        <v>567</v>
      </c>
      <c r="T3" s="168" t="s">
        <v>1424</v>
      </c>
      <c r="U3" s="175" t="s">
        <v>566</v>
      </c>
      <c r="V3" s="175" t="s">
        <v>565</v>
      </c>
      <c r="W3" s="172" t="s">
        <v>563</v>
      </c>
      <c r="X3" s="172" t="s">
        <v>564</v>
      </c>
      <c r="Y3" s="174" t="s">
        <v>269</v>
      </c>
      <c r="Z3" s="175" t="s">
        <v>562</v>
      </c>
      <c r="AA3" s="175" t="s">
        <v>561</v>
      </c>
      <c r="AB3" s="175" t="s">
        <v>560</v>
      </c>
      <c r="AC3" s="172" t="s">
        <v>559</v>
      </c>
      <c r="AD3" s="173" t="s">
        <v>558</v>
      </c>
      <c r="AE3" s="173" t="s">
        <v>557</v>
      </c>
      <c r="AF3" s="173" t="s">
        <v>556</v>
      </c>
      <c r="AG3" s="173" t="s">
        <v>568</v>
      </c>
      <c r="AH3" s="173" t="s">
        <v>555</v>
      </c>
      <c r="AI3" s="173" t="s">
        <v>553</v>
      </c>
      <c r="AJ3" s="173" t="s">
        <v>554</v>
      </c>
      <c r="AK3" s="173" t="s">
        <v>552</v>
      </c>
      <c r="AL3" s="173" t="s">
        <v>551</v>
      </c>
      <c r="AM3" s="172" t="s">
        <v>569</v>
      </c>
      <c r="AN3" s="172" t="s">
        <v>570</v>
      </c>
      <c r="AO3" s="172" t="s">
        <v>571</v>
      </c>
      <c r="AP3" s="175" t="s">
        <v>572</v>
      </c>
      <c r="AQ3" s="173" t="s">
        <v>574</v>
      </c>
      <c r="AR3" s="173" t="s">
        <v>573</v>
      </c>
      <c r="AS3" s="173" t="s">
        <v>575</v>
      </c>
      <c r="AT3" s="172" t="s">
        <v>576</v>
      </c>
      <c r="AU3" s="173" t="s">
        <v>577</v>
      </c>
      <c r="AV3" s="172" t="s">
        <v>578</v>
      </c>
      <c r="AW3" s="172" t="s">
        <v>579</v>
      </c>
      <c r="AX3" s="172" t="s">
        <v>580</v>
      </c>
      <c r="AY3" s="172" t="s">
        <v>581</v>
      </c>
      <c r="AZ3" s="172" t="s">
        <v>582</v>
      </c>
      <c r="BA3" s="172" t="s">
        <v>583</v>
      </c>
      <c r="BC3" s="168" t="s">
        <v>774</v>
      </c>
      <c r="BD3" s="168" t="s">
        <v>775</v>
      </c>
      <c r="BE3" s="168" t="s">
        <v>777</v>
      </c>
      <c r="BF3" s="168" t="s">
        <v>778</v>
      </c>
      <c r="BG3" s="168" t="s">
        <v>779</v>
      </c>
      <c r="BH3" s="170" t="s">
        <v>780</v>
      </c>
      <c r="BI3" s="171" t="s">
        <v>781</v>
      </c>
      <c r="BJ3" s="171" t="s">
        <v>782</v>
      </c>
      <c r="BK3" s="171" t="s">
        <v>783</v>
      </c>
      <c r="BL3" s="172" t="s">
        <v>272</v>
      </c>
      <c r="BM3" s="172" t="s">
        <v>567</v>
      </c>
      <c r="BN3" s="168" t="s">
        <v>776</v>
      </c>
      <c r="BO3" s="175" t="s">
        <v>566</v>
      </c>
      <c r="BP3" s="175" t="s">
        <v>565</v>
      </c>
      <c r="BQ3" s="172" t="s">
        <v>563</v>
      </c>
      <c r="BR3" s="172" t="s">
        <v>564</v>
      </c>
      <c r="BS3" s="174" t="s">
        <v>269</v>
      </c>
      <c r="BT3" s="175" t="s">
        <v>562</v>
      </c>
      <c r="BU3" s="175" t="s">
        <v>561</v>
      </c>
      <c r="BV3" s="175" t="s">
        <v>560</v>
      </c>
      <c r="BW3" s="172" t="s">
        <v>559</v>
      </c>
      <c r="BX3" s="173" t="s">
        <v>558</v>
      </c>
      <c r="BY3" s="173" t="s">
        <v>557</v>
      </c>
      <c r="BZ3" s="173" t="s">
        <v>556</v>
      </c>
      <c r="CA3" s="173" t="s">
        <v>555</v>
      </c>
      <c r="CB3" s="173" t="s">
        <v>553</v>
      </c>
      <c r="CC3" s="173" t="s">
        <v>554</v>
      </c>
      <c r="CD3" s="173" t="s">
        <v>552</v>
      </c>
      <c r="CE3" s="173" t="s">
        <v>551</v>
      </c>
      <c r="CF3" s="172" t="s">
        <v>549</v>
      </c>
      <c r="CG3" s="172" t="s">
        <v>550</v>
      </c>
      <c r="CH3" s="172" t="s">
        <v>548</v>
      </c>
      <c r="CI3" s="172" t="s">
        <v>545</v>
      </c>
      <c r="CJ3" s="172" t="s">
        <v>546</v>
      </c>
      <c r="CK3" s="172" t="s">
        <v>547</v>
      </c>
      <c r="CL3" s="172" t="s">
        <v>541</v>
      </c>
      <c r="CM3" s="172" t="s">
        <v>542</v>
      </c>
      <c r="CN3" s="172" t="s">
        <v>543</v>
      </c>
      <c r="CO3" s="172" t="s">
        <v>544</v>
      </c>
      <c r="CP3" s="172"/>
    </row>
    <row r="4" spans="1:94" s="36" customFormat="1" ht="26">
      <c r="A4" s="32"/>
      <c r="B4" s="33"/>
      <c r="C4" s="33"/>
      <c r="D4" s="34"/>
      <c r="E4" s="35" t="s">
        <v>591</v>
      </c>
      <c r="F4" s="33"/>
      <c r="G4" s="33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9"/>
      <c r="U4" s="96"/>
      <c r="V4" s="99"/>
      <c r="W4" s="96"/>
      <c r="X4" s="96"/>
      <c r="Y4" s="96"/>
      <c r="Z4" s="96"/>
      <c r="AA4" s="96"/>
      <c r="AB4" s="96"/>
      <c r="AC4" s="96"/>
      <c r="AD4" s="96"/>
      <c r="AE4" s="96"/>
      <c r="AF4" s="99"/>
      <c r="AG4" s="99"/>
      <c r="AH4" s="96"/>
      <c r="AI4" s="99"/>
      <c r="AJ4" s="96"/>
      <c r="AK4" s="96"/>
      <c r="AL4" s="99"/>
      <c r="AM4" s="99"/>
      <c r="AN4" s="96"/>
      <c r="AO4" s="99"/>
      <c r="AP4" s="99"/>
      <c r="AQ4" s="99"/>
      <c r="AR4" s="99"/>
      <c r="AS4" s="99"/>
      <c r="AT4" s="96"/>
      <c r="AU4" s="96"/>
      <c r="AV4" s="96"/>
      <c r="AW4" s="96"/>
      <c r="AX4" s="96"/>
      <c r="AY4" s="96"/>
      <c r="AZ4" s="96"/>
      <c r="BA4" s="96"/>
      <c r="BC4" s="96"/>
      <c r="BD4" s="96"/>
      <c r="BE4" s="96"/>
      <c r="BF4" s="96"/>
      <c r="BG4" s="96"/>
      <c r="BH4" s="97"/>
      <c r="BI4" s="98"/>
      <c r="BJ4" s="98"/>
      <c r="BK4" s="98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</row>
    <row r="5" spans="1:94" s="62" customFormat="1">
      <c r="A5" s="108" t="s">
        <v>16</v>
      </c>
      <c r="B5" s="109" t="s">
        <v>17</v>
      </c>
      <c r="C5" s="109" t="s">
        <v>18</v>
      </c>
      <c r="D5" s="109">
        <f t="shared" ref="D5:D13" si="0">F5-E5</f>
        <v>115</v>
      </c>
      <c r="E5" s="110">
        <v>43932</v>
      </c>
      <c r="F5" s="110">
        <v>44047</v>
      </c>
      <c r="G5" s="110" t="s">
        <v>585</v>
      </c>
      <c r="H5" s="62">
        <v>1</v>
      </c>
      <c r="I5" s="88">
        <v>5</v>
      </c>
      <c r="J5" s="88">
        <v>1</v>
      </c>
      <c r="K5" s="115">
        <v>0</v>
      </c>
      <c r="L5" s="115">
        <v>0</v>
      </c>
      <c r="M5" s="115">
        <v>0</v>
      </c>
      <c r="N5" s="88">
        <v>1.7468452526831399</v>
      </c>
      <c r="O5" s="115">
        <v>0</v>
      </c>
      <c r="P5" s="115">
        <v>1</v>
      </c>
      <c r="Q5" s="116">
        <v>0</v>
      </c>
      <c r="R5" s="116"/>
      <c r="S5" s="88">
        <v>3</v>
      </c>
      <c r="T5" s="88">
        <v>1</v>
      </c>
      <c r="U5" s="88">
        <v>8.4991399340039706</v>
      </c>
      <c r="V5" s="88">
        <v>0.19246193263415401</v>
      </c>
      <c r="W5" s="88">
        <v>51.1450381679389</v>
      </c>
      <c r="X5" s="88">
        <v>100</v>
      </c>
      <c r="Y5" s="88">
        <v>0</v>
      </c>
      <c r="Z5" s="88">
        <v>96.946564885496201</v>
      </c>
      <c r="AA5" s="88">
        <v>52.755905511811001</v>
      </c>
      <c r="AB5" s="88">
        <v>0</v>
      </c>
      <c r="AC5" s="88">
        <v>14.262086515477799</v>
      </c>
      <c r="AD5" s="117">
        <v>1.9</v>
      </c>
      <c r="AE5" s="118">
        <v>30</v>
      </c>
      <c r="AF5" s="118">
        <v>0.5</v>
      </c>
      <c r="AG5" s="118">
        <v>1</v>
      </c>
      <c r="AH5" s="118">
        <v>0.5</v>
      </c>
      <c r="AI5" s="118">
        <v>2</v>
      </c>
      <c r="AJ5" s="118">
        <v>3</v>
      </c>
      <c r="AK5" s="118">
        <v>0</v>
      </c>
      <c r="AL5" s="118">
        <v>0</v>
      </c>
      <c r="AM5" s="88">
        <v>0.14693771008655501</v>
      </c>
      <c r="AN5" s="88">
        <v>42.2889611259018</v>
      </c>
      <c r="AO5" s="88">
        <v>7.2460203308025903</v>
      </c>
      <c r="AP5" s="88">
        <v>39.344262295081997</v>
      </c>
      <c r="AQ5" s="115">
        <v>3</v>
      </c>
      <c r="AR5" s="115">
        <v>2</v>
      </c>
      <c r="AS5" s="115">
        <v>6</v>
      </c>
      <c r="AT5" s="115">
        <v>8</v>
      </c>
      <c r="AU5" s="115">
        <v>2</v>
      </c>
      <c r="AV5" s="88">
        <v>1</v>
      </c>
      <c r="AW5" s="88">
        <v>0</v>
      </c>
      <c r="AX5" s="88">
        <v>1</v>
      </c>
      <c r="AY5" s="88">
        <v>0</v>
      </c>
      <c r="AZ5" s="88">
        <v>0</v>
      </c>
      <c r="BA5" s="88">
        <v>0</v>
      </c>
      <c r="BC5" s="111">
        <v>46</v>
      </c>
      <c r="BD5" s="112">
        <v>2</v>
      </c>
      <c r="BE5" s="112">
        <v>3</v>
      </c>
      <c r="BF5" s="112">
        <v>0</v>
      </c>
      <c r="BG5" s="112">
        <v>3</v>
      </c>
      <c r="BH5" s="111">
        <v>5.7762719797590201</v>
      </c>
      <c r="BI5" s="113">
        <v>2</v>
      </c>
      <c r="BJ5" s="113">
        <v>3</v>
      </c>
      <c r="BK5" s="113">
        <v>2</v>
      </c>
      <c r="BL5" s="88" t="s">
        <v>19</v>
      </c>
      <c r="BM5" s="112">
        <v>6</v>
      </c>
      <c r="BN5" s="112">
        <v>6</v>
      </c>
      <c r="BO5" s="114">
        <v>11.029618343031199</v>
      </c>
      <c r="BP5" s="114">
        <v>4.2040259858324696</v>
      </c>
      <c r="BQ5" s="114">
        <v>15.7700810611643</v>
      </c>
      <c r="BR5" s="114">
        <v>84.745762711864401</v>
      </c>
      <c r="BS5" s="111">
        <v>3</v>
      </c>
      <c r="BT5" s="114">
        <v>53.205600589535699</v>
      </c>
      <c r="BU5" s="114">
        <v>19.3905817174515</v>
      </c>
      <c r="BV5" s="114">
        <v>11.653543307086601</v>
      </c>
      <c r="BW5" s="88">
        <v>7.4114149996638501</v>
      </c>
      <c r="BX5" s="111">
        <v>21</v>
      </c>
      <c r="BY5" s="111">
        <v>79</v>
      </c>
      <c r="BZ5" s="111">
        <v>5</v>
      </c>
      <c r="CA5" s="111">
        <v>4</v>
      </c>
      <c r="CB5" s="111">
        <v>2</v>
      </c>
      <c r="CC5" s="111">
        <v>1</v>
      </c>
      <c r="CD5" s="111">
        <v>0</v>
      </c>
      <c r="CE5" s="111">
        <v>3</v>
      </c>
      <c r="CF5" s="88">
        <v>12.661498708010299</v>
      </c>
      <c r="CG5" s="88">
        <v>85.142118863049106</v>
      </c>
      <c r="CH5" s="88">
        <v>2</v>
      </c>
      <c r="CI5" s="88">
        <v>59.819121447028401</v>
      </c>
      <c r="CJ5" s="88">
        <v>14.902807775377999</v>
      </c>
      <c r="CK5" s="88">
        <v>9.32475884244373</v>
      </c>
      <c r="CL5" s="88" t="s">
        <v>281</v>
      </c>
      <c r="CM5" s="88" t="s">
        <v>282</v>
      </c>
      <c r="CN5" s="88" t="s">
        <v>283</v>
      </c>
      <c r="CO5" s="88" t="s">
        <v>284</v>
      </c>
      <c r="CP5" s="88"/>
    </row>
    <row r="6" spans="1:94" s="62" customFormat="1">
      <c r="A6" s="108" t="s">
        <v>20</v>
      </c>
      <c r="B6" s="109" t="s">
        <v>17</v>
      </c>
      <c r="C6" s="109" t="s">
        <v>18</v>
      </c>
      <c r="D6" s="109">
        <f t="shared" si="0"/>
        <v>64</v>
      </c>
      <c r="E6" s="110">
        <v>43983</v>
      </c>
      <c r="F6" s="110">
        <v>44047</v>
      </c>
      <c r="G6" s="110" t="s">
        <v>585</v>
      </c>
      <c r="H6" s="62">
        <v>1</v>
      </c>
      <c r="I6" s="88">
        <v>3</v>
      </c>
      <c r="J6" s="115">
        <v>0</v>
      </c>
      <c r="K6" s="115">
        <v>0</v>
      </c>
      <c r="L6" s="115">
        <v>0</v>
      </c>
      <c r="M6" s="115">
        <v>0</v>
      </c>
      <c r="N6" s="88">
        <v>9.2562361424691595</v>
      </c>
      <c r="O6" s="115">
        <v>0</v>
      </c>
      <c r="P6" s="115">
        <v>2</v>
      </c>
      <c r="Q6" s="116">
        <v>0</v>
      </c>
      <c r="R6" s="116"/>
      <c r="S6" s="88">
        <v>3</v>
      </c>
      <c r="T6" s="115">
        <v>0</v>
      </c>
      <c r="U6" s="88">
        <v>9.1830497233111501</v>
      </c>
      <c r="V6" s="88">
        <v>0.232282219681539</v>
      </c>
      <c r="W6" s="88">
        <v>9.0909090909090899</v>
      </c>
      <c r="X6" s="88">
        <v>100</v>
      </c>
      <c r="Y6" s="88">
        <v>0</v>
      </c>
      <c r="Z6" s="88">
        <v>71.428571428571402</v>
      </c>
      <c r="AA6" s="88">
        <v>12.7272727272727</v>
      </c>
      <c r="AB6" s="88">
        <v>0</v>
      </c>
      <c r="AC6" s="88">
        <v>1.2631382715300199</v>
      </c>
      <c r="AD6" s="117">
        <v>7.5</v>
      </c>
      <c r="AE6" s="118">
        <v>32</v>
      </c>
      <c r="AF6" s="118">
        <v>4</v>
      </c>
      <c r="AG6" s="118">
        <v>5</v>
      </c>
      <c r="AH6" s="118">
        <v>0.3</v>
      </c>
      <c r="AI6" s="118">
        <v>1</v>
      </c>
      <c r="AJ6" s="118">
        <v>2</v>
      </c>
      <c r="AK6" s="118">
        <v>0</v>
      </c>
      <c r="AL6" s="118">
        <v>0</v>
      </c>
      <c r="AM6" s="88">
        <v>0.24648885429547299</v>
      </c>
      <c r="AN6" s="88">
        <v>23.716667511922601</v>
      </c>
      <c r="AO6" s="88">
        <v>3.01426152305226</v>
      </c>
      <c r="AP6" s="88">
        <v>55.691056910569102</v>
      </c>
      <c r="AQ6" s="115">
        <v>2</v>
      </c>
      <c r="AR6" s="115">
        <v>1</v>
      </c>
      <c r="AS6" s="115">
        <v>16</v>
      </c>
      <c r="AT6" s="115">
        <v>0</v>
      </c>
      <c r="AU6" s="115">
        <v>1</v>
      </c>
      <c r="AV6" s="88">
        <v>2</v>
      </c>
      <c r="AW6" s="88">
        <v>2</v>
      </c>
      <c r="AX6" s="88">
        <v>0</v>
      </c>
      <c r="AY6" s="88">
        <v>0</v>
      </c>
      <c r="AZ6" s="88">
        <v>0</v>
      </c>
      <c r="BA6" s="88">
        <v>0</v>
      </c>
      <c r="BC6" s="111">
        <v>111</v>
      </c>
      <c r="BD6" s="112">
        <v>13</v>
      </c>
      <c r="BE6" s="112">
        <v>10</v>
      </c>
      <c r="BF6" s="112">
        <v>2</v>
      </c>
      <c r="BG6" s="112">
        <v>1</v>
      </c>
      <c r="BH6" s="111">
        <v>5.8882058961547301</v>
      </c>
      <c r="BI6" s="113">
        <v>2</v>
      </c>
      <c r="BJ6" s="113">
        <v>1</v>
      </c>
      <c r="BK6" s="113">
        <v>2</v>
      </c>
      <c r="BL6" s="88" t="s">
        <v>21</v>
      </c>
      <c r="BM6" s="112">
        <v>6</v>
      </c>
      <c r="BN6" s="112">
        <v>11</v>
      </c>
      <c r="BO6" s="114">
        <v>8.0987264373921199</v>
      </c>
      <c r="BP6" s="114">
        <v>7.7180154842339199</v>
      </c>
      <c r="BQ6" s="114">
        <v>29.227996395313902</v>
      </c>
      <c r="BR6" s="114">
        <v>90.687894262541306</v>
      </c>
      <c r="BS6" s="111">
        <v>5</v>
      </c>
      <c r="BT6" s="114">
        <v>56.233103033944097</v>
      </c>
      <c r="BU6" s="114">
        <v>30.982905982906001</v>
      </c>
      <c r="BV6" s="114">
        <v>26.973232669869599</v>
      </c>
      <c r="BW6" s="88">
        <v>3.3257324014353902</v>
      </c>
      <c r="BX6" s="111">
        <v>28</v>
      </c>
      <c r="BY6" s="111">
        <f>150</f>
        <v>150</v>
      </c>
      <c r="BZ6" s="111">
        <v>2</v>
      </c>
      <c r="CA6" s="111">
        <v>15</v>
      </c>
      <c r="CB6" s="111">
        <v>3</v>
      </c>
      <c r="CC6" s="111">
        <v>2</v>
      </c>
      <c r="CD6" s="111">
        <v>0</v>
      </c>
      <c r="CE6" s="111">
        <v>0</v>
      </c>
      <c r="CF6" s="88">
        <v>21.712158808933001</v>
      </c>
      <c r="CG6" s="88">
        <v>94.913151364764303</v>
      </c>
      <c r="CH6" s="88">
        <v>1</v>
      </c>
      <c r="CI6" s="88">
        <v>54.466501240694797</v>
      </c>
      <c r="CJ6" s="88">
        <v>28.018223234624099</v>
      </c>
      <c r="CK6" s="88">
        <v>14.168937329700301</v>
      </c>
      <c r="CL6" s="88" t="s">
        <v>285</v>
      </c>
      <c r="CM6" s="88" t="s">
        <v>286</v>
      </c>
      <c r="CN6" s="88" t="s">
        <v>287</v>
      </c>
      <c r="CO6" s="88" t="s">
        <v>288</v>
      </c>
      <c r="CP6" s="88"/>
    </row>
    <row r="7" spans="1:94" s="62" customFormat="1">
      <c r="A7" s="108" t="s">
        <v>22</v>
      </c>
      <c r="B7" s="109" t="s">
        <v>17</v>
      </c>
      <c r="C7" s="109" t="s">
        <v>18</v>
      </c>
      <c r="D7" s="109">
        <f t="shared" si="0"/>
        <v>56</v>
      </c>
      <c r="E7" s="110">
        <v>43999</v>
      </c>
      <c r="F7" s="110">
        <v>44055</v>
      </c>
      <c r="G7" s="110" t="s">
        <v>585</v>
      </c>
      <c r="H7" s="62">
        <v>1</v>
      </c>
      <c r="I7" s="115">
        <v>4</v>
      </c>
      <c r="J7" s="115">
        <v>0</v>
      </c>
      <c r="K7" s="115">
        <v>0</v>
      </c>
      <c r="L7" s="115">
        <v>0</v>
      </c>
      <c r="M7" s="115">
        <v>0</v>
      </c>
      <c r="N7" s="88">
        <v>11.341793235720001</v>
      </c>
      <c r="O7" s="115">
        <v>0</v>
      </c>
      <c r="P7" s="115">
        <v>2</v>
      </c>
      <c r="Q7" s="116">
        <v>0</v>
      </c>
      <c r="R7" s="116"/>
      <c r="S7" s="88">
        <v>4</v>
      </c>
      <c r="T7" s="115">
        <v>0</v>
      </c>
      <c r="U7" s="88">
        <v>17.725660311980999</v>
      </c>
      <c r="V7" s="88">
        <v>0.43668015730480703</v>
      </c>
      <c r="W7" s="88">
        <v>22.115384615384599</v>
      </c>
      <c r="X7" s="88">
        <v>100</v>
      </c>
      <c r="Y7" s="88">
        <v>0</v>
      </c>
      <c r="Z7" s="88">
        <v>50.961538461538503</v>
      </c>
      <c r="AA7" s="88">
        <v>33.962264150943398</v>
      </c>
      <c r="AB7" s="88">
        <v>9.8039215686274499</v>
      </c>
      <c r="AC7" s="88">
        <v>9.82870116178578</v>
      </c>
      <c r="AD7" s="117">
        <v>3</v>
      </c>
      <c r="AE7" s="118">
        <v>24</v>
      </c>
      <c r="AF7" s="118">
        <v>0.5</v>
      </c>
      <c r="AG7" s="118">
        <v>0.5</v>
      </c>
      <c r="AH7" s="118">
        <v>0.2</v>
      </c>
      <c r="AI7" s="118">
        <v>2</v>
      </c>
      <c r="AJ7" s="118">
        <v>3</v>
      </c>
      <c r="AK7" s="118">
        <v>0</v>
      </c>
      <c r="AL7" s="118">
        <v>0</v>
      </c>
      <c r="AM7" s="88">
        <v>0.38988525559394999</v>
      </c>
      <c r="AN7" s="88">
        <v>38.337661202170203</v>
      </c>
      <c r="AO7" s="88">
        <v>12.0919158901435</v>
      </c>
      <c r="AP7" s="88">
        <v>14.432989690721699</v>
      </c>
      <c r="AQ7" s="115">
        <v>1</v>
      </c>
      <c r="AR7" s="115">
        <v>0</v>
      </c>
      <c r="AS7" s="119">
        <v>3</v>
      </c>
      <c r="AT7" s="115">
        <v>22</v>
      </c>
      <c r="AU7" s="115">
        <v>2</v>
      </c>
      <c r="AV7" s="88">
        <v>1</v>
      </c>
      <c r="AW7" s="88">
        <v>1</v>
      </c>
      <c r="AX7" s="88">
        <v>0</v>
      </c>
      <c r="AY7" s="88">
        <v>0</v>
      </c>
      <c r="AZ7" s="88">
        <v>0</v>
      </c>
      <c r="BA7" s="88">
        <v>0</v>
      </c>
      <c r="BC7" s="111">
        <v>104</v>
      </c>
      <c r="BD7" s="112">
        <v>4</v>
      </c>
      <c r="BE7" s="112">
        <v>4</v>
      </c>
      <c r="BF7" s="112">
        <v>2</v>
      </c>
      <c r="BG7" s="112">
        <v>1</v>
      </c>
      <c r="BH7" s="111">
        <v>8.6543766931036803</v>
      </c>
      <c r="BI7" s="113">
        <v>3</v>
      </c>
      <c r="BJ7" s="113">
        <v>2</v>
      </c>
      <c r="BK7" s="113">
        <v>1</v>
      </c>
      <c r="BL7" s="88" t="s">
        <v>23</v>
      </c>
      <c r="BM7" s="112">
        <v>4</v>
      </c>
      <c r="BN7" s="112">
        <v>5</v>
      </c>
      <c r="BO7" s="114">
        <v>12.0448127707925</v>
      </c>
      <c r="BP7" s="114">
        <v>5.5638022194682302</v>
      </c>
      <c r="BQ7" s="114">
        <v>48.881789137380203</v>
      </c>
      <c r="BR7" s="114">
        <v>82.236421725239595</v>
      </c>
      <c r="BS7" s="111">
        <v>8</v>
      </c>
      <c r="BT7" s="114">
        <v>29.297124600638998</v>
      </c>
      <c r="BU7" s="114">
        <v>26.935659760087201</v>
      </c>
      <c r="BV7" s="114">
        <v>57.975598734749198</v>
      </c>
      <c r="BW7" s="88">
        <v>6.97568584113416</v>
      </c>
      <c r="BX7" s="111">
        <v>1</v>
      </c>
      <c r="BY7" s="111">
        <v>120</v>
      </c>
      <c r="BZ7" s="111">
        <v>0</v>
      </c>
      <c r="CA7" s="111">
        <v>1</v>
      </c>
      <c r="CB7" s="111">
        <v>1</v>
      </c>
      <c r="CC7" s="111">
        <v>3</v>
      </c>
      <c r="CD7" s="111">
        <v>0</v>
      </c>
      <c r="CE7" s="111">
        <v>0</v>
      </c>
      <c r="CF7" s="88">
        <v>9.7345132743362797</v>
      </c>
      <c r="CG7" s="88">
        <v>88.643067846607707</v>
      </c>
      <c r="CH7" s="88">
        <v>3</v>
      </c>
      <c r="CI7" s="88">
        <v>47.935103244837798</v>
      </c>
      <c r="CJ7" s="88">
        <v>13.2307692307692</v>
      </c>
      <c r="CK7" s="88">
        <v>6.5155807365439102</v>
      </c>
      <c r="CL7" s="88" t="s">
        <v>289</v>
      </c>
      <c r="CM7" s="88" t="s">
        <v>290</v>
      </c>
      <c r="CN7" s="88" t="s">
        <v>291</v>
      </c>
      <c r="CO7" s="88" t="s">
        <v>292</v>
      </c>
      <c r="CP7" s="88"/>
    </row>
    <row r="8" spans="1:94" s="62" customFormat="1">
      <c r="A8" s="108" t="s">
        <v>24</v>
      </c>
      <c r="B8" s="109" t="s">
        <v>17</v>
      </c>
      <c r="C8" s="109" t="s">
        <v>18</v>
      </c>
      <c r="D8" s="109">
        <f t="shared" si="0"/>
        <v>56</v>
      </c>
      <c r="E8" s="110">
        <v>43999</v>
      </c>
      <c r="F8" s="110">
        <v>44055</v>
      </c>
      <c r="G8" s="110" t="s">
        <v>585</v>
      </c>
      <c r="H8" s="62">
        <v>1</v>
      </c>
      <c r="I8" s="115">
        <v>6</v>
      </c>
      <c r="J8" s="115">
        <v>0</v>
      </c>
      <c r="K8" s="115">
        <v>0</v>
      </c>
      <c r="L8" s="115">
        <v>0</v>
      </c>
      <c r="M8" s="115">
        <v>0</v>
      </c>
      <c r="N8" s="88">
        <v>14.2924480227984</v>
      </c>
      <c r="O8" s="115">
        <v>0</v>
      </c>
      <c r="P8" s="115">
        <v>2</v>
      </c>
      <c r="Q8" s="116">
        <v>0</v>
      </c>
      <c r="R8" s="116"/>
      <c r="S8" s="88">
        <v>6</v>
      </c>
      <c r="T8" s="115">
        <v>0</v>
      </c>
      <c r="U8" s="88">
        <v>13.54433637374</v>
      </c>
      <c r="V8" s="88">
        <v>0.72810523472278499</v>
      </c>
      <c r="W8" s="88">
        <v>9.5238095238095202</v>
      </c>
      <c r="X8" s="88">
        <v>66.137566137566097</v>
      </c>
      <c r="Y8" s="88">
        <v>1</v>
      </c>
      <c r="Z8" s="88">
        <v>32.2751322751323</v>
      </c>
      <c r="AA8" s="88">
        <v>4.9180327868852496</v>
      </c>
      <c r="AB8" s="88">
        <v>11.71875</v>
      </c>
      <c r="AC8" s="88">
        <v>5.4776959242795398</v>
      </c>
      <c r="AD8" s="117">
        <v>16</v>
      </c>
      <c r="AE8" s="118">
        <v>32</v>
      </c>
      <c r="AF8" s="118">
        <v>0</v>
      </c>
      <c r="AG8" s="118">
        <v>0</v>
      </c>
      <c r="AH8" s="118">
        <v>2.1</v>
      </c>
      <c r="AI8" s="118">
        <v>3</v>
      </c>
      <c r="AJ8" s="118">
        <v>2</v>
      </c>
      <c r="AK8" s="118">
        <v>3</v>
      </c>
      <c r="AL8" s="118">
        <v>1</v>
      </c>
      <c r="AM8" s="88">
        <v>0.64020088050017698</v>
      </c>
      <c r="AN8" s="88">
        <v>24.899344044530299</v>
      </c>
      <c r="AO8" s="88">
        <v>5.5664541238663396</v>
      </c>
      <c r="AP8" s="88">
        <v>46.531791907514503</v>
      </c>
      <c r="AQ8" s="115">
        <v>1</v>
      </c>
      <c r="AR8" s="115">
        <v>1</v>
      </c>
      <c r="AS8" s="115">
        <v>3</v>
      </c>
      <c r="AT8" s="115">
        <v>0</v>
      </c>
      <c r="AU8" s="115">
        <v>1</v>
      </c>
      <c r="AV8" s="88">
        <v>2</v>
      </c>
      <c r="AW8" s="88">
        <v>0</v>
      </c>
      <c r="AX8" s="88">
        <v>1</v>
      </c>
      <c r="AY8" s="88">
        <v>0</v>
      </c>
      <c r="AZ8" s="88">
        <v>1</v>
      </c>
      <c r="BA8" s="88">
        <v>0</v>
      </c>
      <c r="BC8" s="111">
        <v>600</v>
      </c>
      <c r="BD8" s="112">
        <v>5</v>
      </c>
      <c r="BE8" s="112">
        <v>10</v>
      </c>
      <c r="BF8" s="112">
        <v>3</v>
      </c>
      <c r="BG8" s="112">
        <v>3</v>
      </c>
      <c r="BH8" s="111" t="s">
        <v>25</v>
      </c>
      <c r="BI8" s="113">
        <v>5</v>
      </c>
      <c r="BJ8" s="113">
        <v>5</v>
      </c>
      <c r="BK8" s="113">
        <v>5</v>
      </c>
      <c r="BL8" s="88" t="s">
        <v>26</v>
      </c>
      <c r="BM8" s="112">
        <v>1</v>
      </c>
      <c r="BN8" s="112">
        <v>14</v>
      </c>
      <c r="BO8" s="114">
        <v>17.262058264371099</v>
      </c>
      <c r="BP8" s="114">
        <v>11.4707018256243</v>
      </c>
      <c r="BQ8" s="114">
        <v>77.390581717451497</v>
      </c>
      <c r="BR8" s="114">
        <v>53.573407202216103</v>
      </c>
      <c r="BS8" s="111">
        <v>20</v>
      </c>
      <c r="BT8" s="114">
        <v>34.509695290858701</v>
      </c>
      <c r="BU8" s="114">
        <v>66.479370685503298</v>
      </c>
      <c r="BV8" s="114">
        <v>83.140174266136498</v>
      </c>
      <c r="BW8" s="88" t="s">
        <v>25</v>
      </c>
      <c r="BX8" s="111" t="s">
        <v>25</v>
      </c>
      <c r="BY8" s="111">
        <v>600</v>
      </c>
      <c r="BZ8" s="88" t="s">
        <v>25</v>
      </c>
      <c r="CA8" s="88" t="s">
        <v>25</v>
      </c>
      <c r="CB8" s="88" t="s">
        <v>25</v>
      </c>
      <c r="CC8" s="88" t="s">
        <v>25</v>
      </c>
      <c r="CD8" s="88" t="s">
        <v>25</v>
      </c>
      <c r="CE8" s="88" t="s">
        <v>25</v>
      </c>
      <c r="CF8" s="88">
        <v>50.125628140703498</v>
      </c>
      <c r="CG8" s="88">
        <v>84.987437185929707</v>
      </c>
      <c r="CH8" s="88">
        <v>2</v>
      </c>
      <c r="CI8" s="88">
        <v>72.675879396984897</v>
      </c>
      <c r="CJ8" s="88">
        <v>58.686257562662099</v>
      </c>
      <c r="CK8" s="88">
        <v>27.356321839080501</v>
      </c>
      <c r="CL8" s="88">
        <v>0</v>
      </c>
      <c r="CM8" s="88" t="s">
        <v>293</v>
      </c>
      <c r="CN8" s="88" t="s">
        <v>294</v>
      </c>
      <c r="CO8" s="88" t="s">
        <v>295</v>
      </c>
      <c r="CP8" s="88"/>
    </row>
    <row r="9" spans="1:94" s="62" customFormat="1">
      <c r="A9" s="108" t="s">
        <v>27</v>
      </c>
      <c r="B9" s="109" t="s">
        <v>17</v>
      </c>
      <c r="C9" s="109" t="s">
        <v>18</v>
      </c>
      <c r="D9" s="109">
        <f t="shared" si="0"/>
        <v>76</v>
      </c>
      <c r="E9" s="110">
        <v>44215</v>
      </c>
      <c r="F9" s="110">
        <v>44291</v>
      </c>
      <c r="G9" s="110" t="s">
        <v>585</v>
      </c>
      <c r="H9" s="62">
        <v>1</v>
      </c>
      <c r="I9" s="115">
        <v>20</v>
      </c>
      <c r="J9" s="115">
        <v>2</v>
      </c>
      <c r="K9" s="115">
        <v>1</v>
      </c>
      <c r="L9" s="115">
        <v>0</v>
      </c>
      <c r="M9" s="115">
        <v>0</v>
      </c>
      <c r="N9" s="88">
        <v>11.548352937452099</v>
      </c>
      <c r="O9" s="115">
        <v>2</v>
      </c>
      <c r="P9" s="115">
        <v>3</v>
      </c>
      <c r="Q9" s="116">
        <v>2</v>
      </c>
      <c r="R9" s="116"/>
      <c r="S9" s="88">
        <v>3</v>
      </c>
      <c r="T9" s="115">
        <v>2</v>
      </c>
      <c r="U9" s="88">
        <v>13.5998486392263</v>
      </c>
      <c r="V9" s="88">
        <v>1.83916669230312</v>
      </c>
      <c r="W9" s="88">
        <v>18.6170212765957</v>
      </c>
      <c r="X9" s="88">
        <v>83.510638297872404</v>
      </c>
      <c r="Y9" s="88">
        <v>1</v>
      </c>
      <c r="Z9" s="88">
        <v>38.475177304964497</v>
      </c>
      <c r="AA9" s="88">
        <v>20.276497695852498</v>
      </c>
      <c r="AB9" s="88">
        <v>17.579250720461101</v>
      </c>
      <c r="AC9" s="88">
        <v>11.251617902501</v>
      </c>
      <c r="AD9" s="117">
        <v>107</v>
      </c>
      <c r="AE9" s="118">
        <v>156</v>
      </c>
      <c r="AF9" s="118">
        <v>40</v>
      </c>
      <c r="AG9" s="118">
        <v>40</v>
      </c>
      <c r="AH9" s="118">
        <v>18</v>
      </c>
      <c r="AI9" s="118">
        <v>2</v>
      </c>
      <c r="AJ9" s="118">
        <v>2</v>
      </c>
      <c r="AK9" s="118">
        <v>0</v>
      </c>
      <c r="AL9" s="118">
        <v>7</v>
      </c>
      <c r="AM9" s="88">
        <v>9.72716044858565</v>
      </c>
      <c r="AN9" s="88">
        <v>35.988393026991403</v>
      </c>
      <c r="AO9" s="88">
        <v>7.6087729161426498</v>
      </c>
      <c r="AP9" s="88">
        <v>24.387701928087498</v>
      </c>
      <c r="AQ9" s="115">
        <v>0</v>
      </c>
      <c r="AR9" s="115">
        <v>0</v>
      </c>
      <c r="AS9" s="115">
        <v>6</v>
      </c>
      <c r="AT9" s="115">
        <v>0</v>
      </c>
      <c r="AU9" s="115">
        <v>2</v>
      </c>
      <c r="AV9" s="88">
        <f>28</f>
        <v>28</v>
      </c>
      <c r="AW9" s="88">
        <v>13</v>
      </c>
      <c r="AX9" s="88">
        <v>2</v>
      </c>
      <c r="AY9" s="88">
        <v>9</v>
      </c>
      <c r="AZ9" s="63">
        <v>4</v>
      </c>
      <c r="BA9" s="88">
        <v>0</v>
      </c>
      <c r="BC9" s="111">
        <v>36</v>
      </c>
      <c r="BD9" s="112">
        <v>0</v>
      </c>
      <c r="BE9" s="112">
        <v>0</v>
      </c>
      <c r="BF9" s="112">
        <v>0</v>
      </c>
      <c r="BG9" s="112">
        <v>3</v>
      </c>
      <c r="BH9" s="111">
        <v>9.7536800699730506</v>
      </c>
      <c r="BI9" s="113">
        <v>2</v>
      </c>
      <c r="BJ9" s="113">
        <v>2</v>
      </c>
      <c r="BK9" s="113">
        <v>1</v>
      </c>
      <c r="BL9" s="88" t="s">
        <v>28</v>
      </c>
      <c r="BM9" s="112">
        <v>4</v>
      </c>
      <c r="BN9" s="112">
        <v>3</v>
      </c>
      <c r="BO9" s="114">
        <v>9.4906441981239809</v>
      </c>
      <c r="BP9" s="114">
        <v>1.98693345636959</v>
      </c>
      <c r="BQ9" s="114">
        <v>7.91925465838509</v>
      </c>
      <c r="BR9" s="114">
        <v>90.372670807453403</v>
      </c>
      <c r="BS9" s="111">
        <v>1</v>
      </c>
      <c r="BT9" s="114">
        <v>42.236024844720497</v>
      </c>
      <c r="BU9" s="114">
        <v>5.8823529411764701</v>
      </c>
      <c r="BV9" s="114">
        <v>9.4086021505376305</v>
      </c>
      <c r="BW9" s="88">
        <v>9.9738435797234199</v>
      </c>
      <c r="BX9" s="111">
        <v>67</v>
      </c>
      <c r="BY9" s="111">
        <v>118</v>
      </c>
      <c r="BZ9" s="111">
        <v>1</v>
      </c>
      <c r="CA9" s="111">
        <v>16</v>
      </c>
      <c r="CB9" s="111">
        <v>2</v>
      </c>
      <c r="CC9" s="111">
        <v>2</v>
      </c>
      <c r="CD9" s="111">
        <v>3</v>
      </c>
      <c r="CE9" s="111">
        <v>4</v>
      </c>
      <c r="CF9" s="88" t="s">
        <v>25</v>
      </c>
      <c r="CG9" s="88" t="s">
        <v>25</v>
      </c>
      <c r="CH9" s="88" t="s">
        <v>25</v>
      </c>
      <c r="CI9" s="88" t="s">
        <v>25</v>
      </c>
      <c r="CJ9" s="88" t="s">
        <v>25</v>
      </c>
      <c r="CK9" s="88" t="s">
        <v>25</v>
      </c>
      <c r="CL9" s="88" t="s">
        <v>296</v>
      </c>
      <c r="CM9" s="88" t="s">
        <v>297</v>
      </c>
      <c r="CN9" s="88" t="s">
        <v>298</v>
      </c>
      <c r="CO9" s="88" t="s">
        <v>299</v>
      </c>
      <c r="CP9" s="88"/>
    </row>
    <row r="10" spans="1:94" s="62" customFormat="1">
      <c r="A10" s="108" t="s">
        <v>29</v>
      </c>
      <c r="B10" s="109" t="s">
        <v>17</v>
      </c>
      <c r="C10" s="109" t="s">
        <v>18</v>
      </c>
      <c r="D10" s="109">
        <f t="shared" si="0"/>
        <v>73</v>
      </c>
      <c r="E10" s="110">
        <v>44292</v>
      </c>
      <c r="F10" s="110">
        <v>44365</v>
      </c>
      <c r="G10" s="110" t="s">
        <v>585</v>
      </c>
      <c r="H10" s="62">
        <v>1</v>
      </c>
      <c r="I10" s="115">
        <v>4</v>
      </c>
      <c r="J10" s="115">
        <v>0</v>
      </c>
      <c r="K10" s="115">
        <v>0</v>
      </c>
      <c r="L10" s="115">
        <v>0</v>
      </c>
      <c r="M10" s="115">
        <v>0</v>
      </c>
      <c r="N10" s="88">
        <v>5.48476004431165</v>
      </c>
      <c r="O10" s="115">
        <v>0</v>
      </c>
      <c r="P10" s="115">
        <v>1</v>
      </c>
      <c r="Q10" s="120">
        <v>0</v>
      </c>
      <c r="R10" s="120"/>
      <c r="S10" s="88">
        <v>4</v>
      </c>
      <c r="T10" s="115">
        <v>0</v>
      </c>
      <c r="U10" s="88">
        <v>7.99140505554307</v>
      </c>
      <c r="V10" s="88">
        <v>0.24457825223860399</v>
      </c>
      <c r="W10" s="88">
        <v>18.918918918918902</v>
      </c>
      <c r="X10" s="88">
        <v>38.738738738738697</v>
      </c>
      <c r="Y10" s="88">
        <v>0</v>
      </c>
      <c r="Z10" s="88">
        <v>65.765765765765806</v>
      </c>
      <c r="AA10" s="88">
        <v>28.7671232876712</v>
      </c>
      <c r="AB10" s="88">
        <v>0</v>
      </c>
      <c r="AC10" s="88">
        <v>6.7036525782894598</v>
      </c>
      <c r="AD10" s="115">
        <v>178</v>
      </c>
      <c r="AE10" s="121">
        <v>195</v>
      </c>
      <c r="AF10" s="121">
        <v>2</v>
      </c>
      <c r="AG10" s="121">
        <v>3</v>
      </c>
      <c r="AH10" s="121">
        <v>45</v>
      </c>
      <c r="AI10" s="121">
        <v>3</v>
      </c>
      <c r="AJ10" s="121">
        <v>1</v>
      </c>
      <c r="AK10" s="121">
        <v>4</v>
      </c>
      <c r="AL10" s="121">
        <v>11</v>
      </c>
      <c r="AM10" s="88">
        <v>10.8571872327725</v>
      </c>
      <c r="AN10" s="88">
        <v>28.1962216813697</v>
      </c>
      <c r="AO10" s="88">
        <v>6.1047899044722103</v>
      </c>
      <c r="AP10" s="88">
        <v>40.775426109758399</v>
      </c>
      <c r="AQ10" s="115">
        <v>1</v>
      </c>
      <c r="AR10" s="115">
        <v>0</v>
      </c>
      <c r="AS10" s="115">
        <v>5</v>
      </c>
      <c r="AT10" s="115">
        <v>0</v>
      </c>
      <c r="AU10" s="115">
        <v>1</v>
      </c>
      <c r="AV10" s="88">
        <f>25</f>
        <v>25</v>
      </c>
      <c r="AW10" s="88">
        <v>4</v>
      </c>
      <c r="AX10" s="88">
        <v>4</v>
      </c>
      <c r="AY10" s="88">
        <v>3</v>
      </c>
      <c r="AZ10" s="88">
        <v>13</v>
      </c>
      <c r="BA10" s="88">
        <v>1</v>
      </c>
      <c r="BC10" s="111">
        <v>51</v>
      </c>
      <c r="BD10" s="112">
        <v>3</v>
      </c>
      <c r="BE10" s="112">
        <v>4</v>
      </c>
      <c r="BF10" s="112">
        <v>0</v>
      </c>
      <c r="BG10" s="112">
        <v>0</v>
      </c>
      <c r="BH10" s="111">
        <v>7.8883622655175198</v>
      </c>
      <c r="BI10" s="113">
        <v>2</v>
      </c>
      <c r="BJ10" s="113">
        <v>3</v>
      </c>
      <c r="BK10" s="113">
        <v>2</v>
      </c>
      <c r="BL10" s="88" t="s">
        <v>30</v>
      </c>
      <c r="BM10" s="112">
        <v>2</v>
      </c>
      <c r="BN10" s="112">
        <v>4</v>
      </c>
      <c r="BO10" s="114">
        <v>13.0711573463009</v>
      </c>
      <c r="BP10" s="114">
        <v>3.7687895109721201</v>
      </c>
      <c r="BQ10" s="114">
        <v>27.1805273833671</v>
      </c>
      <c r="BR10" s="114">
        <v>77.214334009465901</v>
      </c>
      <c r="BS10" s="111">
        <v>2</v>
      </c>
      <c r="BT10" s="114">
        <v>43.4753211629479</v>
      </c>
      <c r="BU10" s="114">
        <v>23.950233281492999</v>
      </c>
      <c r="BV10" s="114">
        <v>29.665071770334901</v>
      </c>
      <c r="BW10" s="88">
        <v>4.1851203379131396</v>
      </c>
      <c r="BX10" s="111">
        <v>26</v>
      </c>
      <c r="BY10" s="111">
        <v>135</v>
      </c>
      <c r="BZ10" s="111">
        <v>17</v>
      </c>
      <c r="CA10" s="111">
        <v>1</v>
      </c>
      <c r="CB10" s="111">
        <v>1</v>
      </c>
      <c r="CC10" s="111">
        <v>1</v>
      </c>
      <c r="CD10" s="111">
        <v>3</v>
      </c>
      <c r="CE10" s="111">
        <v>3</v>
      </c>
      <c r="CF10" s="88">
        <v>18.299881936245601</v>
      </c>
      <c r="CG10" s="88">
        <v>75.796930342384897</v>
      </c>
      <c r="CH10" s="88">
        <v>0</v>
      </c>
      <c r="CI10" s="88">
        <v>44.6280991735537</v>
      </c>
      <c r="CJ10" s="88">
        <v>16.1375661375661</v>
      </c>
      <c r="CK10" s="88">
        <v>20.042643923240899</v>
      </c>
      <c r="CL10" s="88" t="s">
        <v>300</v>
      </c>
      <c r="CM10" s="88" t="s">
        <v>301</v>
      </c>
      <c r="CN10" s="88" t="s">
        <v>302</v>
      </c>
      <c r="CO10" s="88" t="s">
        <v>303</v>
      </c>
      <c r="CP10" s="88"/>
    </row>
    <row r="11" spans="1:94" s="62" customFormat="1">
      <c r="A11" s="108" t="s">
        <v>31</v>
      </c>
      <c r="B11" s="109" t="s">
        <v>17</v>
      </c>
      <c r="C11" s="109" t="s">
        <v>18</v>
      </c>
      <c r="D11" s="109">
        <f t="shared" si="0"/>
        <v>73</v>
      </c>
      <c r="E11" s="110">
        <v>44292</v>
      </c>
      <c r="F11" s="110">
        <v>44365</v>
      </c>
      <c r="G11" s="110" t="s">
        <v>585</v>
      </c>
      <c r="H11" s="62">
        <v>1</v>
      </c>
      <c r="I11" s="115">
        <v>5</v>
      </c>
      <c r="J11" s="115">
        <v>0</v>
      </c>
      <c r="K11" s="115">
        <v>0</v>
      </c>
      <c r="L11" s="115">
        <v>0</v>
      </c>
      <c r="M11" s="115">
        <v>0</v>
      </c>
      <c r="N11" s="88">
        <v>9.8582172298354394</v>
      </c>
      <c r="O11" s="115">
        <v>2</v>
      </c>
      <c r="P11" s="115">
        <v>3</v>
      </c>
      <c r="Q11" s="120">
        <v>2</v>
      </c>
      <c r="R11" s="120"/>
      <c r="S11" s="88">
        <v>5</v>
      </c>
      <c r="T11" s="115">
        <v>0</v>
      </c>
      <c r="U11" s="88">
        <v>7.3838400960019799</v>
      </c>
      <c r="V11" s="88">
        <v>0.30837386888644602</v>
      </c>
      <c r="W11" s="88">
        <v>18</v>
      </c>
      <c r="X11" s="88">
        <v>95</v>
      </c>
      <c r="Y11" s="88">
        <v>0</v>
      </c>
      <c r="Z11" s="88">
        <v>65</v>
      </c>
      <c r="AA11" s="88">
        <v>7.6923076923076898</v>
      </c>
      <c r="AB11" s="88">
        <v>37.142857142857103</v>
      </c>
      <c r="AC11" s="88">
        <v>10.091638945886</v>
      </c>
      <c r="AD11" s="122">
        <v>20</v>
      </c>
      <c r="AE11" s="121">
        <v>38</v>
      </c>
      <c r="AF11" s="121">
        <v>10</v>
      </c>
      <c r="AG11" s="121">
        <v>10</v>
      </c>
      <c r="AH11" s="121">
        <v>9</v>
      </c>
      <c r="AI11" s="121">
        <v>2</v>
      </c>
      <c r="AJ11" s="121">
        <v>0</v>
      </c>
      <c r="AK11" s="121">
        <v>0</v>
      </c>
      <c r="AL11" s="121">
        <v>2</v>
      </c>
      <c r="AM11" s="88">
        <v>1.03750629630927</v>
      </c>
      <c r="AN11" s="88">
        <v>24.264778835166599</v>
      </c>
      <c r="AO11" s="88">
        <v>5.1913197293921396</v>
      </c>
      <c r="AP11" s="88">
        <v>38</v>
      </c>
      <c r="AQ11" s="115">
        <v>1</v>
      </c>
      <c r="AR11" s="115">
        <v>1</v>
      </c>
      <c r="AS11" s="115">
        <v>3</v>
      </c>
      <c r="AT11" s="115">
        <v>0</v>
      </c>
      <c r="AU11" s="115">
        <v>1</v>
      </c>
      <c r="AV11" s="88">
        <v>1</v>
      </c>
      <c r="AW11" s="88">
        <v>0</v>
      </c>
      <c r="AX11" s="88">
        <v>0</v>
      </c>
      <c r="AY11" s="88">
        <v>0</v>
      </c>
      <c r="AZ11" s="88">
        <v>0</v>
      </c>
      <c r="BA11" s="88">
        <v>1</v>
      </c>
      <c r="BC11" s="111">
        <v>13</v>
      </c>
      <c r="BD11" s="112">
        <v>1</v>
      </c>
      <c r="BE11" s="112">
        <v>1</v>
      </c>
      <c r="BF11" s="112">
        <v>0</v>
      </c>
      <c r="BG11" s="112">
        <v>0</v>
      </c>
      <c r="BH11" s="111">
        <v>7.3945301666902203</v>
      </c>
      <c r="BI11" s="113">
        <v>0</v>
      </c>
      <c r="BJ11" s="113">
        <v>1</v>
      </c>
      <c r="BK11" s="113">
        <v>0</v>
      </c>
      <c r="BL11" s="88" t="s">
        <v>32</v>
      </c>
      <c r="BM11" s="112">
        <v>4</v>
      </c>
      <c r="BN11" s="112">
        <v>1</v>
      </c>
      <c r="BO11" s="114">
        <v>5.89422653615821</v>
      </c>
      <c r="BP11" s="114">
        <v>0.956495276419009</v>
      </c>
      <c r="BQ11" s="114">
        <v>12.568306010929</v>
      </c>
      <c r="BR11" s="114">
        <v>40.163934426229503</v>
      </c>
      <c r="BS11" s="111">
        <v>1</v>
      </c>
      <c r="BT11" s="114">
        <v>46.994535519125698</v>
      </c>
      <c r="BU11" s="114">
        <v>14.5348837209302</v>
      </c>
      <c r="BV11" s="114">
        <v>10.8247422680412</v>
      </c>
      <c r="BW11" s="88">
        <v>5.6075978474355601</v>
      </c>
      <c r="BX11" s="111">
        <v>0.5</v>
      </c>
      <c r="BY11" s="111">
        <v>70</v>
      </c>
      <c r="BZ11" s="111">
        <v>0</v>
      </c>
      <c r="CA11" s="111">
        <v>0</v>
      </c>
      <c r="CB11" s="111">
        <v>0</v>
      </c>
      <c r="CC11" s="111">
        <v>0</v>
      </c>
      <c r="CD11" s="111">
        <v>0</v>
      </c>
      <c r="CE11" s="111">
        <v>0</v>
      </c>
      <c r="CF11" s="88" t="s">
        <v>25</v>
      </c>
      <c r="CG11" s="88" t="s">
        <v>25</v>
      </c>
      <c r="CH11" s="88" t="s">
        <v>25</v>
      </c>
      <c r="CI11" s="88" t="s">
        <v>25</v>
      </c>
      <c r="CJ11" s="88" t="s">
        <v>25</v>
      </c>
      <c r="CK11" s="88" t="s">
        <v>25</v>
      </c>
      <c r="CL11" s="88" t="s">
        <v>25</v>
      </c>
      <c r="CM11" s="88" t="s">
        <v>25</v>
      </c>
      <c r="CN11" s="88" t="s">
        <v>25</v>
      </c>
      <c r="CO11" s="88" t="s">
        <v>25</v>
      </c>
      <c r="CP11" s="88"/>
    </row>
    <row r="12" spans="1:94" s="62" customFormat="1">
      <c r="A12" s="63" t="s">
        <v>33</v>
      </c>
      <c r="B12" s="88" t="s">
        <v>17</v>
      </c>
      <c r="C12" s="88" t="s">
        <v>34</v>
      </c>
      <c r="D12" s="123">
        <f t="shared" si="0"/>
        <v>101</v>
      </c>
      <c r="E12" s="124">
        <v>43946</v>
      </c>
      <c r="F12" s="124">
        <v>44047</v>
      </c>
      <c r="G12" s="110" t="s">
        <v>585</v>
      </c>
      <c r="H12" s="62">
        <v>1</v>
      </c>
      <c r="I12" s="88">
        <v>2</v>
      </c>
      <c r="J12" s="88">
        <v>0</v>
      </c>
      <c r="K12" s="88">
        <v>0</v>
      </c>
      <c r="L12" s="88">
        <v>0</v>
      </c>
      <c r="M12" s="88">
        <v>0</v>
      </c>
      <c r="N12" s="88">
        <v>8.8691372585459192</v>
      </c>
      <c r="O12" s="88">
        <v>0</v>
      </c>
      <c r="P12" s="88">
        <v>2</v>
      </c>
      <c r="Q12" s="88">
        <v>0</v>
      </c>
      <c r="R12" s="88"/>
      <c r="S12" s="88">
        <v>0</v>
      </c>
      <c r="T12" s="88">
        <v>0</v>
      </c>
      <c r="U12" s="88">
        <v>9.4199781870300594</v>
      </c>
      <c r="V12" s="88">
        <v>0.220726346535495</v>
      </c>
      <c r="W12" s="88">
        <v>30.952380952380999</v>
      </c>
      <c r="X12" s="88">
        <v>100</v>
      </c>
      <c r="Y12" s="88">
        <v>0</v>
      </c>
      <c r="Z12" s="88">
        <v>48.809523809523803</v>
      </c>
      <c r="AA12" s="88">
        <v>31.707317073170699</v>
      </c>
      <c r="AB12" s="88">
        <v>30.232558139534898</v>
      </c>
      <c r="AC12" s="88">
        <v>2.0931076093399099</v>
      </c>
      <c r="AD12" s="88">
        <v>190</v>
      </c>
      <c r="AE12" s="125">
        <v>218</v>
      </c>
      <c r="AF12" s="125">
        <v>2.5</v>
      </c>
      <c r="AG12" s="125">
        <v>2.5</v>
      </c>
      <c r="AH12" s="125">
        <v>30</v>
      </c>
      <c r="AI12" s="125">
        <v>2</v>
      </c>
      <c r="AJ12" s="125">
        <v>1</v>
      </c>
      <c r="AK12" s="125">
        <v>4</v>
      </c>
      <c r="AL12" s="125">
        <v>14</v>
      </c>
      <c r="AM12" s="88">
        <v>11.8102252542028</v>
      </c>
      <c r="AN12" s="88">
        <v>35.966200822310498</v>
      </c>
      <c r="AO12" s="88">
        <v>6.2323254126429299</v>
      </c>
      <c r="AP12" s="88">
        <v>44.746535695492</v>
      </c>
      <c r="AQ12" s="88">
        <v>0</v>
      </c>
      <c r="AR12" s="88">
        <v>0</v>
      </c>
      <c r="AS12" s="88">
        <v>2</v>
      </c>
      <c r="AT12" s="88">
        <v>2</v>
      </c>
      <c r="AU12" s="88">
        <v>1</v>
      </c>
      <c r="AV12" s="88">
        <v>23</v>
      </c>
      <c r="AW12" s="88">
        <v>3</v>
      </c>
      <c r="AX12" s="88">
        <v>1</v>
      </c>
      <c r="AY12" s="88">
        <v>11</v>
      </c>
      <c r="AZ12" s="88">
        <v>7</v>
      </c>
      <c r="BA12" s="88">
        <v>1</v>
      </c>
      <c r="BC12" s="88">
        <v>287</v>
      </c>
      <c r="BD12" s="88">
        <v>6</v>
      </c>
      <c r="BE12" s="88">
        <v>6</v>
      </c>
      <c r="BF12" s="88">
        <v>3</v>
      </c>
      <c r="BG12" s="88">
        <v>5</v>
      </c>
      <c r="BH12" s="111">
        <v>0.903475900903283</v>
      </c>
      <c r="BI12" s="113">
        <v>0</v>
      </c>
      <c r="BJ12" s="113">
        <v>3</v>
      </c>
      <c r="BK12" s="113">
        <v>0</v>
      </c>
      <c r="BL12" s="88" t="s">
        <v>35</v>
      </c>
      <c r="BM12" s="88">
        <v>4</v>
      </c>
      <c r="BN12" s="88">
        <v>9</v>
      </c>
      <c r="BO12" s="114">
        <v>9.1760088207262402</v>
      </c>
      <c r="BP12" s="114">
        <v>11.171148192424599</v>
      </c>
      <c r="BQ12" s="114">
        <v>52.753521946676003</v>
      </c>
      <c r="BR12" s="114">
        <v>65.828385143788594</v>
      </c>
      <c r="BS12" s="111">
        <v>21</v>
      </c>
      <c r="BT12" s="114">
        <v>49.866107812318099</v>
      </c>
      <c r="BU12" s="114">
        <v>54.681298155498503</v>
      </c>
      <c r="BV12" s="114">
        <v>50.836042731072901</v>
      </c>
      <c r="BW12" s="88">
        <v>6.9640828349605099</v>
      </c>
      <c r="BX12" s="88">
        <v>1</v>
      </c>
      <c r="BY12" s="88">
        <v>293</v>
      </c>
      <c r="BZ12" s="88">
        <v>0.2</v>
      </c>
      <c r="CA12" s="88">
        <v>0.5</v>
      </c>
      <c r="CB12" s="88">
        <v>2</v>
      </c>
      <c r="CC12" s="88">
        <v>2</v>
      </c>
      <c r="CD12" s="88">
        <v>0</v>
      </c>
      <c r="CE12" s="88">
        <v>0</v>
      </c>
      <c r="CF12" s="88">
        <v>37.906772207563797</v>
      </c>
      <c r="CG12" s="88">
        <v>89.7097625329815</v>
      </c>
      <c r="CH12" s="88">
        <v>1</v>
      </c>
      <c r="CI12" s="88">
        <v>19.876868953386101</v>
      </c>
      <c r="CJ12" s="88">
        <v>19.911504424778801</v>
      </c>
      <c r="CK12" s="88">
        <v>42.371020856202001</v>
      </c>
      <c r="CL12" s="88">
        <v>0</v>
      </c>
      <c r="CM12" s="88" t="s">
        <v>304</v>
      </c>
      <c r="CN12" s="88" t="s">
        <v>305</v>
      </c>
      <c r="CO12" s="88" t="s">
        <v>306</v>
      </c>
      <c r="CP12" s="88"/>
    </row>
    <row r="13" spans="1:94" s="62" customFormat="1">
      <c r="A13" s="63" t="s">
        <v>36</v>
      </c>
      <c r="B13" s="88" t="s">
        <v>17</v>
      </c>
      <c r="C13" s="88" t="s">
        <v>34</v>
      </c>
      <c r="D13" s="123">
        <f t="shared" si="0"/>
        <v>67</v>
      </c>
      <c r="E13" s="124">
        <v>44215</v>
      </c>
      <c r="F13" s="124">
        <v>44282</v>
      </c>
      <c r="G13" s="110" t="s">
        <v>585</v>
      </c>
      <c r="H13" s="62">
        <v>1</v>
      </c>
      <c r="I13" s="88">
        <v>6</v>
      </c>
      <c r="J13" s="88">
        <v>0</v>
      </c>
      <c r="K13" s="88">
        <v>0</v>
      </c>
      <c r="L13" s="88">
        <v>0</v>
      </c>
      <c r="M13" s="88">
        <v>0</v>
      </c>
      <c r="N13" s="88">
        <v>3.3468458802805898</v>
      </c>
      <c r="O13" s="88">
        <v>0</v>
      </c>
      <c r="P13" s="88">
        <v>1</v>
      </c>
      <c r="Q13" s="88">
        <v>1</v>
      </c>
      <c r="R13" s="88"/>
      <c r="S13" s="88">
        <v>5</v>
      </c>
      <c r="T13" s="88">
        <v>0</v>
      </c>
      <c r="U13" s="88">
        <v>9.1728401644580408</v>
      </c>
      <c r="V13" s="88">
        <v>0.27268972938257502</v>
      </c>
      <c r="W13" s="88">
        <v>39.285714285714299</v>
      </c>
      <c r="X13" s="88">
        <v>100</v>
      </c>
      <c r="Y13" s="88">
        <v>0</v>
      </c>
      <c r="Z13" s="88">
        <v>63.571428571428598</v>
      </c>
      <c r="AA13" s="88">
        <v>46.067415730337103</v>
      </c>
      <c r="AB13" s="88">
        <v>27.4509803921569</v>
      </c>
      <c r="AC13" s="88">
        <v>9.9782115064551196</v>
      </c>
      <c r="AD13" s="88">
        <v>159</v>
      </c>
      <c r="AE13" s="125">
        <v>260</v>
      </c>
      <c r="AF13" s="125">
        <v>2</v>
      </c>
      <c r="AG13" s="125">
        <v>2</v>
      </c>
      <c r="AH13" s="125">
        <v>24</v>
      </c>
      <c r="AI13" s="125">
        <v>2</v>
      </c>
      <c r="AJ13" s="125">
        <v>3</v>
      </c>
      <c r="AK13" s="125">
        <v>13</v>
      </c>
      <c r="AL13" s="125">
        <f>16</f>
        <v>16</v>
      </c>
      <c r="AM13" s="88">
        <v>12.632072499140801</v>
      </c>
      <c r="AN13" s="88">
        <v>34.506398871763601</v>
      </c>
      <c r="AO13" s="88">
        <v>7.89723562697794</v>
      </c>
      <c r="AP13" s="88">
        <v>27.259475218658899</v>
      </c>
      <c r="AQ13" s="88">
        <v>4</v>
      </c>
      <c r="AR13" s="88">
        <v>4</v>
      </c>
      <c r="AS13" s="88">
        <v>7</v>
      </c>
      <c r="AT13" s="88">
        <v>2</v>
      </c>
      <c r="AU13" s="88">
        <v>1</v>
      </c>
      <c r="AV13" s="88">
        <v>25</v>
      </c>
      <c r="AW13" s="88">
        <v>9</v>
      </c>
      <c r="AX13" s="88">
        <v>3</v>
      </c>
      <c r="AY13" s="88">
        <v>5</v>
      </c>
      <c r="AZ13" s="88">
        <v>8</v>
      </c>
      <c r="BA13" s="88">
        <v>0</v>
      </c>
      <c r="BC13" s="88">
        <v>103</v>
      </c>
      <c r="BD13" s="88">
        <v>8</v>
      </c>
      <c r="BE13" s="88">
        <v>6</v>
      </c>
      <c r="BF13" s="88">
        <v>3</v>
      </c>
      <c r="BG13" s="88">
        <v>2</v>
      </c>
      <c r="BH13" s="111">
        <v>1.69560196738835</v>
      </c>
      <c r="BI13" s="113">
        <v>3</v>
      </c>
      <c r="BJ13" s="113">
        <v>3</v>
      </c>
      <c r="BK13" s="113">
        <v>1</v>
      </c>
      <c r="BL13" s="88" t="s">
        <v>37</v>
      </c>
      <c r="BM13" s="88">
        <v>3</v>
      </c>
      <c r="BN13" s="88">
        <v>10</v>
      </c>
      <c r="BO13" s="114">
        <v>17.033253513034602</v>
      </c>
      <c r="BP13" s="114">
        <v>7.3289365980953596</v>
      </c>
      <c r="BQ13" s="114">
        <v>31.6152330925804</v>
      </c>
      <c r="BR13" s="114">
        <v>56.828627708470101</v>
      </c>
      <c r="BS13" s="111">
        <v>9</v>
      </c>
      <c r="BT13" s="114">
        <v>51.477347340774799</v>
      </c>
      <c r="BU13" s="114">
        <v>34.375</v>
      </c>
      <c r="BV13" s="114">
        <v>28.894989704873002</v>
      </c>
      <c r="BW13" s="88">
        <v>4.7128230044676096</v>
      </c>
      <c r="BX13" s="88">
        <v>16</v>
      </c>
      <c r="BY13" s="88">
        <v>158</v>
      </c>
      <c r="BZ13" s="88">
        <v>0</v>
      </c>
      <c r="CA13" s="88">
        <v>4</v>
      </c>
      <c r="CB13" s="88">
        <v>2</v>
      </c>
      <c r="CC13" s="88">
        <v>3</v>
      </c>
      <c r="CD13" s="88">
        <v>5</v>
      </c>
      <c r="CE13" s="88">
        <v>0</v>
      </c>
      <c r="CF13" s="88">
        <v>7.4829931972789101</v>
      </c>
      <c r="CG13" s="88">
        <v>86.394557823129304</v>
      </c>
      <c r="CH13" s="88">
        <v>3</v>
      </c>
      <c r="CI13" s="88">
        <v>38.095238095238102</v>
      </c>
      <c r="CJ13" s="88">
        <v>8.9285714285714306</v>
      </c>
      <c r="CK13" s="88">
        <v>6.5934065934065904</v>
      </c>
      <c r="CL13" s="88" t="s">
        <v>307</v>
      </c>
      <c r="CM13" s="88" t="s">
        <v>308</v>
      </c>
      <c r="CN13" s="88" t="s">
        <v>309</v>
      </c>
      <c r="CO13" s="88" t="s">
        <v>310</v>
      </c>
      <c r="CP13" s="88"/>
    </row>
    <row r="14" spans="1:94" s="62" customFormat="1">
      <c r="A14" s="63" t="s">
        <v>38</v>
      </c>
      <c r="B14" s="62" t="s">
        <v>17</v>
      </c>
      <c r="C14" s="62" t="s">
        <v>34</v>
      </c>
      <c r="D14" s="109">
        <f>F14-E14</f>
        <v>77</v>
      </c>
      <c r="E14" s="126">
        <v>44117</v>
      </c>
      <c r="F14" s="126">
        <v>44194</v>
      </c>
      <c r="G14" s="110" t="s">
        <v>585</v>
      </c>
      <c r="H14" s="62">
        <v>1</v>
      </c>
      <c r="I14" s="88">
        <v>7</v>
      </c>
      <c r="J14" s="88">
        <v>0</v>
      </c>
      <c r="K14" s="88">
        <v>0</v>
      </c>
      <c r="L14" s="88">
        <v>0</v>
      </c>
      <c r="M14" s="88">
        <v>0</v>
      </c>
      <c r="N14" s="88">
        <v>5.64559254235213</v>
      </c>
      <c r="O14" s="88">
        <v>0</v>
      </c>
      <c r="P14" s="88">
        <v>1</v>
      </c>
      <c r="Q14" s="88">
        <v>1</v>
      </c>
      <c r="R14" s="88"/>
      <c r="S14" s="88">
        <v>5</v>
      </c>
      <c r="T14" s="88">
        <v>0</v>
      </c>
      <c r="U14" s="88">
        <v>10.772311963267301</v>
      </c>
      <c r="V14" s="88">
        <v>0.33755459535857801</v>
      </c>
      <c r="W14" s="88">
        <v>22.641509433962302</v>
      </c>
      <c r="X14" s="88">
        <v>88.050314465408803</v>
      </c>
      <c r="Y14" s="88">
        <v>0</v>
      </c>
      <c r="Z14" s="88">
        <v>68.553459119496907</v>
      </c>
      <c r="AA14" s="88">
        <v>33.0275229357798</v>
      </c>
      <c r="AB14" s="88">
        <v>0</v>
      </c>
      <c r="AC14" s="88">
        <v>11.7728725917204</v>
      </c>
      <c r="AD14" s="88">
        <v>593</v>
      </c>
      <c r="AE14" s="125">
        <v>600</v>
      </c>
      <c r="AF14" s="125">
        <v>0.5</v>
      </c>
      <c r="AG14" s="125">
        <v>2</v>
      </c>
      <c r="AH14" s="125">
        <v>35</v>
      </c>
      <c r="AI14" s="125">
        <v>2</v>
      </c>
      <c r="AJ14" s="125">
        <v>3</v>
      </c>
      <c r="AK14" s="125">
        <v>20</v>
      </c>
      <c r="AL14" s="125">
        <v>22</v>
      </c>
      <c r="AM14" s="88">
        <v>24.237668964695601</v>
      </c>
      <c r="AN14" s="88">
        <v>38.817914371898503</v>
      </c>
      <c r="AO14" s="88">
        <v>4.0763076227153601</v>
      </c>
      <c r="AP14" s="88">
        <v>48.465880511931999</v>
      </c>
      <c r="AQ14" s="88" t="s">
        <v>25</v>
      </c>
      <c r="AR14" s="88" t="s">
        <v>25</v>
      </c>
      <c r="AS14" s="88" t="s">
        <v>25</v>
      </c>
      <c r="AT14" s="88" t="s">
        <v>25</v>
      </c>
      <c r="AU14" s="88">
        <v>1</v>
      </c>
      <c r="AV14" s="88">
        <f>23+19</f>
        <v>42</v>
      </c>
      <c r="AW14" s="88">
        <v>19</v>
      </c>
      <c r="AX14" s="88">
        <v>6</v>
      </c>
      <c r="AY14" s="88">
        <v>6</v>
      </c>
      <c r="AZ14" s="88">
        <v>10</v>
      </c>
      <c r="BA14" s="88">
        <v>1</v>
      </c>
      <c r="BC14" s="88">
        <v>204</v>
      </c>
      <c r="BD14" s="88">
        <v>5</v>
      </c>
      <c r="BE14" s="88">
        <v>5</v>
      </c>
      <c r="BF14" s="88">
        <v>3</v>
      </c>
      <c r="BG14" s="88">
        <v>0</v>
      </c>
      <c r="BH14" s="111">
        <v>3.7203106604401199</v>
      </c>
      <c r="BI14" s="113">
        <v>2</v>
      </c>
      <c r="BJ14" s="113">
        <v>3</v>
      </c>
      <c r="BK14" s="113">
        <v>0</v>
      </c>
      <c r="BL14" s="88" t="s">
        <v>39</v>
      </c>
      <c r="BM14" s="88">
        <v>4</v>
      </c>
      <c r="BN14" s="88">
        <v>5</v>
      </c>
      <c r="BO14" s="114">
        <v>14.198059516557599</v>
      </c>
      <c r="BP14" s="114">
        <v>7.0640071574406802</v>
      </c>
      <c r="BQ14" s="114">
        <v>52.323099655229001</v>
      </c>
      <c r="BR14" s="114">
        <v>73.140699392546395</v>
      </c>
      <c r="BS14" s="111">
        <v>5</v>
      </c>
      <c r="BT14" s="114">
        <v>35.396486619602697</v>
      </c>
      <c r="BU14" s="114">
        <v>43.552875695732801</v>
      </c>
      <c r="BV14" s="114">
        <v>57.128335451080098</v>
      </c>
      <c r="BW14" s="88">
        <v>5.3946383736899399</v>
      </c>
      <c r="BX14" s="88">
        <v>1</v>
      </c>
      <c r="BY14" s="88">
        <v>217</v>
      </c>
      <c r="BZ14" s="88">
        <v>0</v>
      </c>
      <c r="CA14" s="88">
        <v>0</v>
      </c>
      <c r="CB14" s="88">
        <v>0</v>
      </c>
      <c r="CC14" s="88">
        <v>2</v>
      </c>
      <c r="CD14" s="88">
        <v>0</v>
      </c>
      <c r="CE14" s="88">
        <v>0</v>
      </c>
      <c r="CF14" s="88">
        <v>24.473684210526301</v>
      </c>
      <c r="CG14" s="88">
        <v>79.385964912280699</v>
      </c>
      <c r="CH14" s="88">
        <v>1</v>
      </c>
      <c r="CI14" s="88">
        <v>32.719298245613999</v>
      </c>
      <c r="CJ14" s="88">
        <v>22.520107238605899</v>
      </c>
      <c r="CK14" s="88">
        <v>25.4237288135593</v>
      </c>
      <c r="CL14" s="88">
        <v>0</v>
      </c>
      <c r="CM14" s="88" t="s">
        <v>311</v>
      </c>
      <c r="CN14" s="88" t="s">
        <v>312</v>
      </c>
      <c r="CO14" s="88" t="s">
        <v>313</v>
      </c>
      <c r="CP14" s="88"/>
    </row>
    <row r="15" spans="1:94" s="62" customFormat="1">
      <c r="A15" s="63" t="s">
        <v>40</v>
      </c>
      <c r="B15" s="62" t="s">
        <v>41</v>
      </c>
      <c r="C15" s="62" t="s">
        <v>34</v>
      </c>
      <c r="D15" s="109"/>
      <c r="E15" s="126"/>
      <c r="F15" s="126">
        <v>44887</v>
      </c>
      <c r="G15" s="110" t="s">
        <v>585</v>
      </c>
      <c r="H15" s="62">
        <v>1</v>
      </c>
      <c r="I15" s="88">
        <f>33-5</f>
        <v>28</v>
      </c>
      <c r="J15" s="88">
        <v>0</v>
      </c>
      <c r="K15" s="88">
        <v>0</v>
      </c>
      <c r="L15" s="88">
        <v>0</v>
      </c>
      <c r="M15" s="88">
        <v>1</v>
      </c>
      <c r="N15" s="88">
        <v>9.3081823184559305</v>
      </c>
      <c r="O15" s="88">
        <v>3</v>
      </c>
      <c r="P15" s="88">
        <v>3</v>
      </c>
      <c r="Q15" s="88">
        <v>1</v>
      </c>
      <c r="R15" s="88"/>
      <c r="S15" s="88">
        <v>8</v>
      </c>
      <c r="T15" s="88">
        <v>1</v>
      </c>
      <c r="U15" s="88">
        <v>1.4969274833313699</v>
      </c>
      <c r="V15" s="88">
        <v>1.3219237056822699</v>
      </c>
      <c r="W15" s="88">
        <v>44.208037825059101</v>
      </c>
      <c r="X15" s="88">
        <v>26.359338061465699</v>
      </c>
      <c r="Y15" s="88">
        <v>2</v>
      </c>
      <c r="Z15" s="88">
        <v>35.697399527186803</v>
      </c>
      <c r="AA15" s="88">
        <v>21.523178807947001</v>
      </c>
      <c r="AB15" s="88">
        <v>56.801470588235297</v>
      </c>
      <c r="AC15" s="88">
        <v>3.6758837776253501</v>
      </c>
      <c r="AD15" s="88">
        <v>5</v>
      </c>
      <c r="AE15" s="125">
        <v>64</v>
      </c>
      <c r="AF15" s="125">
        <v>1</v>
      </c>
      <c r="AG15" s="125">
        <v>1</v>
      </c>
      <c r="AH15" s="125">
        <v>4</v>
      </c>
      <c r="AI15" s="125">
        <v>3</v>
      </c>
      <c r="AJ15" s="125">
        <v>2</v>
      </c>
      <c r="AK15" s="125">
        <v>0</v>
      </c>
      <c r="AL15" s="125">
        <v>0</v>
      </c>
      <c r="AM15" s="88">
        <v>0.136239795215603</v>
      </c>
      <c r="AN15" s="88">
        <v>8.6816093093693407</v>
      </c>
      <c r="AO15" s="88">
        <v>2.8804590500979899</v>
      </c>
      <c r="AP15" s="88">
        <v>48.591549295774698</v>
      </c>
      <c r="AQ15" s="88">
        <v>1</v>
      </c>
      <c r="AR15" s="88">
        <v>1</v>
      </c>
      <c r="AS15" s="88">
        <v>5</v>
      </c>
      <c r="AT15" s="88">
        <v>7</v>
      </c>
      <c r="AU15" s="88">
        <v>1</v>
      </c>
      <c r="AV15" s="88">
        <v>1</v>
      </c>
      <c r="AW15" s="88">
        <v>0</v>
      </c>
      <c r="AX15" s="88">
        <v>0</v>
      </c>
      <c r="AY15" s="88">
        <v>0</v>
      </c>
      <c r="AZ15" s="88">
        <v>1</v>
      </c>
      <c r="BA15" s="88">
        <v>0</v>
      </c>
      <c r="BC15" s="88">
        <v>600</v>
      </c>
      <c r="BD15" s="88">
        <v>3</v>
      </c>
      <c r="BE15" s="88">
        <v>4</v>
      </c>
      <c r="BF15" s="88">
        <v>0</v>
      </c>
      <c r="BG15" s="88">
        <v>3</v>
      </c>
      <c r="BH15" s="111" t="s">
        <v>25</v>
      </c>
      <c r="BI15" s="111">
        <v>5</v>
      </c>
      <c r="BJ15" s="111">
        <v>5</v>
      </c>
      <c r="BK15" s="111">
        <v>5</v>
      </c>
      <c r="BL15" s="88" t="s">
        <v>42</v>
      </c>
      <c r="BM15" s="88">
        <v>3</v>
      </c>
      <c r="BN15" s="88">
        <v>8</v>
      </c>
      <c r="BO15" s="88">
        <v>16.1065884868034</v>
      </c>
      <c r="BP15" s="88">
        <v>13.4774039590264</v>
      </c>
      <c r="BQ15" s="88">
        <v>75.7952589796258</v>
      </c>
      <c r="BR15" s="88">
        <v>74.424027091545</v>
      </c>
      <c r="BS15" s="88">
        <v>17</v>
      </c>
      <c r="BT15" s="88">
        <v>42.008549381002602</v>
      </c>
      <c r="BU15" s="88">
        <v>75.472446147746794</v>
      </c>
      <c r="BV15" s="88">
        <v>76.029102048631103</v>
      </c>
      <c r="BW15" s="88" t="s">
        <v>25</v>
      </c>
      <c r="BX15" s="111" t="s">
        <v>25</v>
      </c>
      <c r="BY15" s="88">
        <v>600</v>
      </c>
      <c r="BZ15" s="88" t="s">
        <v>25</v>
      </c>
      <c r="CA15" s="88" t="s">
        <v>25</v>
      </c>
      <c r="CB15" s="88" t="s">
        <v>25</v>
      </c>
      <c r="CC15" s="88" t="s">
        <v>25</v>
      </c>
      <c r="CD15" s="88" t="s">
        <v>25</v>
      </c>
      <c r="CE15" s="88" t="s">
        <v>25</v>
      </c>
      <c r="CF15" s="88">
        <v>70.1254275940707</v>
      </c>
      <c r="CG15" s="88">
        <v>51.425313568985203</v>
      </c>
      <c r="CH15" s="88">
        <v>2</v>
      </c>
      <c r="CI15" s="88">
        <v>15.545419992398299</v>
      </c>
      <c r="CJ15" s="88">
        <v>22.982885085574601</v>
      </c>
      <c r="CK15" s="88">
        <v>78.802880288028803</v>
      </c>
      <c r="CL15" s="88">
        <v>0</v>
      </c>
      <c r="CM15" s="88" t="s">
        <v>314</v>
      </c>
      <c r="CN15" s="88" t="s">
        <v>315</v>
      </c>
      <c r="CO15" s="88" t="s">
        <v>316</v>
      </c>
      <c r="CP15" s="88"/>
    </row>
    <row r="16" spans="1:94" s="62" customFormat="1">
      <c r="A16" s="63" t="s">
        <v>43</v>
      </c>
      <c r="B16" s="62" t="s">
        <v>41</v>
      </c>
      <c r="C16" s="62" t="s">
        <v>34</v>
      </c>
      <c r="D16" s="109"/>
      <c r="E16" s="126"/>
      <c r="F16" s="126">
        <v>44887</v>
      </c>
      <c r="G16" s="110" t="s">
        <v>585</v>
      </c>
      <c r="H16" s="62">
        <v>1</v>
      </c>
      <c r="I16" s="88">
        <v>11</v>
      </c>
      <c r="J16" s="88">
        <v>1</v>
      </c>
      <c r="K16" s="88">
        <v>1</v>
      </c>
      <c r="L16" s="88">
        <v>0</v>
      </c>
      <c r="M16" s="88">
        <v>0</v>
      </c>
      <c r="N16" s="88">
        <v>7.9532751375913602</v>
      </c>
      <c r="O16" s="88">
        <v>1</v>
      </c>
      <c r="P16" s="88">
        <v>3</v>
      </c>
      <c r="Q16" s="88">
        <v>1</v>
      </c>
      <c r="R16" s="88"/>
      <c r="S16" s="88">
        <v>2</v>
      </c>
      <c r="T16" s="88">
        <v>1</v>
      </c>
      <c r="U16" s="88">
        <v>17.437048912165601</v>
      </c>
      <c r="V16" s="88">
        <v>1.0308475913066699</v>
      </c>
      <c r="W16" s="88">
        <v>11.538461538461499</v>
      </c>
      <c r="X16" s="88">
        <v>77.972027972028002</v>
      </c>
      <c r="Y16" s="88">
        <v>1</v>
      </c>
      <c r="Z16" s="88">
        <v>45.454545454545503</v>
      </c>
      <c r="AA16" s="88">
        <v>6.1538461538461497</v>
      </c>
      <c r="AB16" s="88">
        <v>16.025641025641001</v>
      </c>
      <c r="AC16" s="88">
        <v>10.7554679657829</v>
      </c>
      <c r="AD16" s="88">
        <v>2.5</v>
      </c>
      <c r="AE16" s="125">
        <v>30</v>
      </c>
      <c r="AF16" s="125">
        <v>0.5</v>
      </c>
      <c r="AG16" s="125">
        <v>0.5</v>
      </c>
      <c r="AH16" s="125">
        <v>1</v>
      </c>
      <c r="AI16" s="125">
        <v>1</v>
      </c>
      <c r="AJ16" s="125">
        <v>2</v>
      </c>
      <c r="AK16" s="125">
        <v>0</v>
      </c>
      <c r="AL16" s="125">
        <v>0</v>
      </c>
      <c r="AM16" s="88">
        <v>0.15782269381146599</v>
      </c>
      <c r="AN16" s="88">
        <v>28.25800635517</v>
      </c>
      <c r="AO16" s="88">
        <v>5.9972780789931104</v>
      </c>
      <c r="AP16" s="88">
        <v>21.518987341772199</v>
      </c>
      <c r="AQ16" s="88">
        <v>0</v>
      </c>
      <c r="AR16" s="88">
        <v>0</v>
      </c>
      <c r="AS16" s="88">
        <v>3</v>
      </c>
      <c r="AT16" s="88">
        <v>1</v>
      </c>
      <c r="AU16" s="88">
        <v>1</v>
      </c>
      <c r="AV16" s="88">
        <v>1</v>
      </c>
      <c r="AW16" s="88">
        <v>0</v>
      </c>
      <c r="AX16" s="88">
        <v>0</v>
      </c>
      <c r="AY16" s="88">
        <v>1</v>
      </c>
      <c r="AZ16" s="88">
        <v>0</v>
      </c>
      <c r="BA16" s="88">
        <v>0</v>
      </c>
      <c r="BC16" s="88">
        <v>9</v>
      </c>
      <c r="BD16" s="88">
        <v>1</v>
      </c>
      <c r="BE16" s="88">
        <v>1</v>
      </c>
      <c r="BF16" s="88">
        <v>0</v>
      </c>
      <c r="BG16" s="88">
        <v>0</v>
      </c>
      <c r="BH16" s="111">
        <v>12.0412120005726</v>
      </c>
      <c r="BI16" s="88">
        <v>3</v>
      </c>
      <c r="BJ16" s="88">
        <v>2</v>
      </c>
      <c r="BK16" s="88">
        <v>1</v>
      </c>
      <c r="BL16" s="88" t="s">
        <v>44</v>
      </c>
      <c r="BM16" s="88">
        <v>2</v>
      </c>
      <c r="BN16" s="88">
        <v>1</v>
      </c>
      <c r="BO16" s="88">
        <v>13.9134756263625</v>
      </c>
      <c r="BP16" s="88">
        <v>0.77822602367411398</v>
      </c>
      <c r="BQ16" s="88">
        <v>12.6637554585153</v>
      </c>
      <c r="BR16" s="88">
        <v>82.532751091703105</v>
      </c>
      <c r="BS16" s="88">
        <v>1</v>
      </c>
      <c r="BT16" s="88">
        <v>54.585152838427902</v>
      </c>
      <c r="BU16" s="88">
        <v>16</v>
      </c>
      <c r="BV16" s="88">
        <v>8.6538461538461497</v>
      </c>
      <c r="BW16" s="88">
        <v>8.2837329134963493</v>
      </c>
      <c r="BX16" s="88">
        <v>3</v>
      </c>
      <c r="BY16" s="88">
        <f>42-7</f>
        <v>35</v>
      </c>
      <c r="BZ16" s="88">
        <v>0</v>
      </c>
      <c r="CA16" s="88">
        <v>1.5</v>
      </c>
      <c r="CB16" s="88">
        <v>2</v>
      </c>
      <c r="CC16" s="88">
        <v>3</v>
      </c>
      <c r="CD16" s="88">
        <v>0</v>
      </c>
      <c r="CE16" s="88">
        <v>0</v>
      </c>
      <c r="CF16" s="88" t="s">
        <v>25</v>
      </c>
      <c r="CG16" s="88" t="s">
        <v>25</v>
      </c>
      <c r="CH16" s="88" t="s">
        <v>25</v>
      </c>
      <c r="CI16" s="88" t="s">
        <v>25</v>
      </c>
      <c r="CJ16" s="88" t="s">
        <v>25</v>
      </c>
      <c r="CK16" s="88" t="s">
        <v>25</v>
      </c>
      <c r="CL16" s="88" t="s">
        <v>25</v>
      </c>
      <c r="CM16" s="88" t="s">
        <v>25</v>
      </c>
      <c r="CN16" s="88" t="s">
        <v>25</v>
      </c>
      <c r="CO16" s="88" t="s">
        <v>25</v>
      </c>
      <c r="CP16" s="88"/>
    </row>
    <row r="17" spans="1:94" s="62" customFormat="1">
      <c r="A17" s="63" t="s">
        <v>45</v>
      </c>
      <c r="B17" s="62" t="s">
        <v>41</v>
      </c>
      <c r="C17" s="62" t="s">
        <v>34</v>
      </c>
      <c r="D17" s="109"/>
      <c r="E17" s="126"/>
      <c r="F17" s="126">
        <v>44895</v>
      </c>
      <c r="G17" s="110" t="s">
        <v>585</v>
      </c>
      <c r="H17" s="62">
        <v>1</v>
      </c>
      <c r="I17" s="88">
        <v>3</v>
      </c>
      <c r="J17" s="88">
        <v>0</v>
      </c>
      <c r="K17" s="88">
        <v>0</v>
      </c>
      <c r="L17" s="88">
        <v>0</v>
      </c>
      <c r="M17" s="88">
        <v>0</v>
      </c>
      <c r="N17" s="88">
        <v>0.60749559672815601</v>
      </c>
      <c r="O17" s="88">
        <v>0</v>
      </c>
      <c r="P17" s="88">
        <v>1</v>
      </c>
      <c r="Q17" s="88">
        <v>0</v>
      </c>
      <c r="R17" s="88"/>
      <c r="S17" s="88">
        <v>2</v>
      </c>
      <c r="T17" s="88">
        <v>0</v>
      </c>
      <c r="U17" s="88">
        <v>8.6616725031701698</v>
      </c>
      <c r="V17" s="88">
        <v>1.41646749348324E-3</v>
      </c>
      <c r="W17" s="88">
        <v>58.3333333333333</v>
      </c>
      <c r="X17" s="88">
        <v>100</v>
      </c>
      <c r="Y17" s="88">
        <v>0</v>
      </c>
      <c r="Z17" s="88">
        <v>100</v>
      </c>
      <c r="AA17" s="88">
        <v>58.3333333333333</v>
      </c>
      <c r="AB17" s="88">
        <v>0</v>
      </c>
      <c r="AC17" s="88">
        <v>12.570873239699599</v>
      </c>
      <c r="AD17" s="88">
        <v>597</v>
      </c>
      <c r="AE17" s="125">
        <v>600</v>
      </c>
      <c r="AF17" s="125">
        <v>0.5</v>
      </c>
      <c r="AG17" s="125">
        <v>4</v>
      </c>
      <c r="AH17" s="88">
        <v>52</v>
      </c>
      <c r="AI17" s="88">
        <v>3</v>
      </c>
      <c r="AJ17" s="125">
        <v>0</v>
      </c>
      <c r="AK17" s="125">
        <v>47</v>
      </c>
      <c r="AL17" s="125">
        <v>27</v>
      </c>
      <c r="AM17" s="88">
        <v>28.347964392049299</v>
      </c>
      <c r="AN17" s="88">
        <v>33.394631661791898</v>
      </c>
      <c r="AO17" s="88">
        <v>4.7288585547658899</v>
      </c>
      <c r="AP17" s="88">
        <v>54.466170425508302</v>
      </c>
      <c r="AQ17" s="88" t="s">
        <v>25</v>
      </c>
      <c r="AR17" s="88" t="s">
        <v>25</v>
      </c>
      <c r="AS17" s="88" t="s">
        <v>25</v>
      </c>
      <c r="AT17" s="88" t="s">
        <v>25</v>
      </c>
      <c r="AU17" s="88">
        <v>1</v>
      </c>
      <c r="AV17" s="88">
        <v>62</v>
      </c>
      <c r="AW17" s="88">
        <v>14</v>
      </c>
      <c r="AX17" s="88">
        <v>18</v>
      </c>
      <c r="AY17" s="88">
        <v>18</v>
      </c>
      <c r="AZ17" s="88">
        <v>12</v>
      </c>
      <c r="BA17" s="88">
        <v>0</v>
      </c>
      <c r="BC17" s="113">
        <v>10</v>
      </c>
      <c r="BD17" s="88">
        <v>0</v>
      </c>
      <c r="BE17" s="88">
        <v>0</v>
      </c>
      <c r="BF17" s="88">
        <v>0</v>
      </c>
      <c r="BG17" s="88">
        <v>0</v>
      </c>
      <c r="BH17" s="111">
        <v>9.5120838789373892</v>
      </c>
      <c r="BI17" s="88">
        <v>1</v>
      </c>
      <c r="BJ17" s="88">
        <v>1</v>
      </c>
      <c r="BK17" s="88">
        <v>1</v>
      </c>
      <c r="BL17" s="88" t="s">
        <v>46</v>
      </c>
      <c r="BM17" s="113">
        <v>9</v>
      </c>
      <c r="BN17" s="88">
        <v>0</v>
      </c>
      <c r="BO17" s="113">
        <v>1.8036097533625799</v>
      </c>
      <c r="BP17" s="88">
        <v>0.40752458073431103</v>
      </c>
      <c r="BQ17" s="88">
        <v>43.686006825938598</v>
      </c>
      <c r="BR17" s="115">
        <v>94.539249146757697</v>
      </c>
      <c r="BS17" s="88">
        <v>0</v>
      </c>
      <c r="BT17" s="88">
        <v>17.064846416382299</v>
      </c>
      <c r="BU17" s="88">
        <v>8</v>
      </c>
      <c r="BV17" s="88">
        <v>51.028806584362101</v>
      </c>
      <c r="BW17" s="88">
        <v>6.1880924740624002</v>
      </c>
      <c r="BX17" s="88">
        <v>20</v>
      </c>
      <c r="BY17" s="88">
        <v>91</v>
      </c>
      <c r="BZ17" s="88">
        <v>0.5</v>
      </c>
      <c r="CA17" s="88">
        <v>2</v>
      </c>
      <c r="CB17" s="88">
        <v>1</v>
      </c>
      <c r="CC17" s="88">
        <v>2</v>
      </c>
      <c r="CD17" s="88">
        <v>0</v>
      </c>
      <c r="CE17" s="88">
        <v>3</v>
      </c>
      <c r="CF17" s="88" t="s">
        <v>25</v>
      </c>
      <c r="CG17" s="88" t="s">
        <v>25</v>
      </c>
      <c r="CH17" s="88" t="s">
        <v>25</v>
      </c>
      <c r="CI17" s="88" t="s">
        <v>25</v>
      </c>
      <c r="CJ17" s="88" t="s">
        <v>25</v>
      </c>
      <c r="CK17" s="88" t="s">
        <v>25</v>
      </c>
      <c r="CL17" s="88" t="s">
        <v>25</v>
      </c>
      <c r="CM17" s="88" t="s">
        <v>25</v>
      </c>
      <c r="CN17" s="88" t="s">
        <v>25</v>
      </c>
      <c r="CO17" s="88" t="s">
        <v>25</v>
      </c>
      <c r="CP17" s="88"/>
    </row>
    <row r="18" spans="1:94" s="62" customFormat="1">
      <c r="A18" s="63" t="s">
        <v>47</v>
      </c>
      <c r="B18" s="62" t="s">
        <v>41</v>
      </c>
      <c r="C18" s="62" t="s">
        <v>34</v>
      </c>
      <c r="D18" s="109"/>
      <c r="E18" s="126"/>
      <c r="F18" s="126">
        <v>44895</v>
      </c>
      <c r="G18" s="110" t="s">
        <v>585</v>
      </c>
      <c r="H18" s="62">
        <v>1</v>
      </c>
      <c r="I18" s="88">
        <f>22-9</f>
        <v>13</v>
      </c>
      <c r="J18" s="88">
        <v>1</v>
      </c>
      <c r="K18" s="88">
        <v>1</v>
      </c>
      <c r="L18" s="88">
        <v>0</v>
      </c>
      <c r="M18" s="88">
        <v>1</v>
      </c>
      <c r="N18" s="88">
        <v>10.865903016318899</v>
      </c>
      <c r="O18" s="88">
        <v>3</v>
      </c>
      <c r="P18" s="88">
        <v>3</v>
      </c>
      <c r="Q18" s="88">
        <v>2</v>
      </c>
      <c r="R18" s="88"/>
      <c r="S18" s="88">
        <v>2</v>
      </c>
      <c r="T18" s="88">
        <v>2</v>
      </c>
      <c r="U18" s="88">
        <v>16.866550881535101</v>
      </c>
      <c r="V18" s="88">
        <v>1.5179049721406801</v>
      </c>
      <c r="W18" s="88">
        <v>15.8163265306122</v>
      </c>
      <c r="X18" s="88">
        <v>81.122448979591795</v>
      </c>
      <c r="Y18" s="88">
        <v>2</v>
      </c>
      <c r="Z18" s="88">
        <v>50.765306122448997</v>
      </c>
      <c r="AA18" s="88">
        <v>23.115577889447199</v>
      </c>
      <c r="AB18" s="88">
        <v>8.2901554404145106</v>
      </c>
      <c r="AC18" s="88">
        <v>13.591310494208599</v>
      </c>
      <c r="AD18" s="88">
        <f>4*60+33-22</f>
        <v>251</v>
      </c>
      <c r="AE18" s="125">
        <f>287</f>
        <v>287</v>
      </c>
      <c r="AF18" s="125">
        <v>9</v>
      </c>
      <c r="AG18" s="125">
        <v>9</v>
      </c>
      <c r="AH18" s="88">
        <v>59</v>
      </c>
      <c r="AI18" s="88">
        <v>3</v>
      </c>
      <c r="AJ18" s="125">
        <v>0</v>
      </c>
      <c r="AK18" s="125">
        <v>17</v>
      </c>
      <c r="AL18" s="125">
        <v>14</v>
      </c>
      <c r="AM18" s="88">
        <v>14.6030851763773</v>
      </c>
      <c r="AN18" s="88">
        <v>32.778376516116701</v>
      </c>
      <c r="AO18" s="88">
        <v>5.8486895538596304</v>
      </c>
      <c r="AP18" s="88">
        <v>38.567235859124899</v>
      </c>
      <c r="AQ18" s="88">
        <v>0</v>
      </c>
      <c r="AR18" s="88">
        <v>0</v>
      </c>
      <c r="AS18" s="88">
        <v>3</v>
      </c>
      <c r="AT18" s="88">
        <v>15</v>
      </c>
      <c r="AU18" s="88">
        <v>1</v>
      </c>
      <c r="AV18" s="88">
        <v>55</v>
      </c>
      <c r="AW18" s="88">
        <v>6</v>
      </c>
      <c r="AX18" s="88">
        <v>19</v>
      </c>
      <c r="AY18" s="88">
        <v>17</v>
      </c>
      <c r="AZ18" s="88">
        <v>12</v>
      </c>
      <c r="BA18" s="88">
        <v>1</v>
      </c>
      <c r="BC18" s="113">
        <v>11</v>
      </c>
      <c r="BD18" s="88">
        <v>0</v>
      </c>
      <c r="BE18" s="88">
        <v>0</v>
      </c>
      <c r="BF18" s="88">
        <v>0</v>
      </c>
      <c r="BG18" s="88">
        <v>1</v>
      </c>
      <c r="BH18" s="111">
        <v>9.3363706207922501</v>
      </c>
      <c r="BI18" s="88">
        <v>0</v>
      </c>
      <c r="BJ18" s="88">
        <v>1</v>
      </c>
      <c r="BK18" s="88">
        <v>0</v>
      </c>
      <c r="BL18" s="88" t="s">
        <v>48</v>
      </c>
      <c r="BM18" s="113">
        <v>3</v>
      </c>
      <c r="BN18" s="88">
        <v>1</v>
      </c>
      <c r="BO18" s="113">
        <v>13.266873776791201</v>
      </c>
      <c r="BP18" s="88">
        <v>1.0594309946942</v>
      </c>
      <c r="BQ18" s="88">
        <v>7.16845878136201</v>
      </c>
      <c r="BR18" s="115">
        <v>90.681003584229401</v>
      </c>
      <c r="BS18" s="88">
        <v>0</v>
      </c>
      <c r="BT18" s="88">
        <v>45.878136200716803</v>
      </c>
      <c r="BU18" s="88">
        <v>7.8125</v>
      </c>
      <c r="BV18" s="88">
        <v>6.6225165562913899</v>
      </c>
      <c r="BW18" s="88">
        <v>10.2415217553588</v>
      </c>
      <c r="BX18" s="88">
        <v>3</v>
      </c>
      <c r="BY18" s="88">
        <v>25</v>
      </c>
      <c r="BZ18" s="88">
        <v>0</v>
      </c>
      <c r="CA18" s="88">
        <v>1.5</v>
      </c>
      <c r="CB18" s="88">
        <v>2</v>
      </c>
      <c r="CC18" s="88">
        <v>3</v>
      </c>
      <c r="CD18" s="88">
        <v>0</v>
      </c>
      <c r="CE18" s="88">
        <v>0</v>
      </c>
      <c r="CF18" s="88" t="s">
        <v>25</v>
      </c>
      <c r="CG18" s="88" t="s">
        <v>25</v>
      </c>
      <c r="CH18" s="88" t="s">
        <v>25</v>
      </c>
      <c r="CI18" s="88" t="s">
        <v>25</v>
      </c>
      <c r="CJ18" s="88" t="s">
        <v>25</v>
      </c>
      <c r="CK18" s="88" t="s">
        <v>25</v>
      </c>
      <c r="CL18" s="88" t="s">
        <v>25</v>
      </c>
      <c r="CM18" s="88" t="s">
        <v>25</v>
      </c>
      <c r="CN18" s="88" t="s">
        <v>25</v>
      </c>
      <c r="CO18" s="88" t="s">
        <v>25</v>
      </c>
      <c r="CP18" s="88"/>
    </row>
    <row r="19" spans="1:94" s="62" customFormat="1">
      <c r="A19" s="63" t="s">
        <v>49</v>
      </c>
      <c r="B19" s="62" t="s">
        <v>41</v>
      </c>
      <c r="C19" s="62" t="s">
        <v>34</v>
      </c>
      <c r="D19" s="109"/>
      <c r="E19" s="126"/>
      <c r="F19" s="126"/>
      <c r="G19" s="110" t="s">
        <v>585</v>
      </c>
      <c r="H19" s="62">
        <v>1</v>
      </c>
      <c r="I19" s="88">
        <v>28</v>
      </c>
      <c r="J19" s="88">
        <v>1</v>
      </c>
      <c r="K19" s="88">
        <v>0</v>
      </c>
      <c r="L19" s="88">
        <v>0</v>
      </c>
      <c r="M19" s="88">
        <v>1</v>
      </c>
      <c r="N19" s="88">
        <v>4.7489205829007899</v>
      </c>
      <c r="O19" s="88">
        <v>3</v>
      </c>
      <c r="P19" s="88">
        <v>3</v>
      </c>
      <c r="Q19" s="88">
        <v>3</v>
      </c>
      <c r="R19" s="88"/>
      <c r="S19" s="88">
        <v>8</v>
      </c>
      <c r="T19" s="88">
        <v>2</v>
      </c>
      <c r="U19" s="88">
        <v>15.382962452967799</v>
      </c>
      <c r="V19" s="88">
        <v>2.38592718355532</v>
      </c>
      <c r="W19" s="88">
        <v>17.1817058096415</v>
      </c>
      <c r="X19" s="88">
        <v>72.311495673671203</v>
      </c>
      <c r="Y19" s="88">
        <v>3</v>
      </c>
      <c r="Z19" s="88">
        <v>34.363411619283099</v>
      </c>
      <c r="AA19" s="88">
        <v>8.9928057553956808</v>
      </c>
      <c r="AB19" s="88">
        <v>21.631878557874799</v>
      </c>
      <c r="AC19" s="88">
        <v>8.5549920578670395</v>
      </c>
      <c r="AD19" s="88">
        <f>7*60+18-32</f>
        <v>406</v>
      </c>
      <c r="AE19" s="125">
        <f>7*60+52</f>
        <v>472</v>
      </c>
      <c r="AF19" s="125">
        <v>37</v>
      </c>
      <c r="AG19" s="125">
        <v>37</v>
      </c>
      <c r="AH19" s="88">
        <v>7</v>
      </c>
      <c r="AI19" s="88">
        <v>1</v>
      </c>
      <c r="AJ19" s="125">
        <v>3</v>
      </c>
      <c r="AK19" s="125">
        <v>9</v>
      </c>
      <c r="AL19" s="125">
        <v>24</v>
      </c>
      <c r="AM19" s="88">
        <v>21.435980927507899</v>
      </c>
      <c r="AN19" s="88">
        <v>36.335196052164697</v>
      </c>
      <c r="AO19" s="88">
        <v>5.2768228018365804</v>
      </c>
      <c r="AP19" s="88">
        <v>42.481141357822203</v>
      </c>
      <c r="AQ19" s="88">
        <v>2</v>
      </c>
      <c r="AR19" s="88">
        <v>1</v>
      </c>
      <c r="AS19" s="88">
        <v>3</v>
      </c>
      <c r="AT19" s="88">
        <v>1</v>
      </c>
      <c r="AU19" s="88">
        <v>2</v>
      </c>
      <c r="AV19" s="88">
        <v>12</v>
      </c>
      <c r="AW19" s="88">
        <v>7</v>
      </c>
      <c r="AX19" s="88">
        <v>2</v>
      </c>
      <c r="AY19" s="88">
        <v>2</v>
      </c>
      <c r="AZ19" s="88">
        <v>1</v>
      </c>
      <c r="BA19" s="88">
        <v>0</v>
      </c>
      <c r="BC19" s="113">
        <v>10</v>
      </c>
      <c r="BD19" s="88">
        <v>0</v>
      </c>
      <c r="BE19" s="88">
        <v>0</v>
      </c>
      <c r="BF19" s="88">
        <v>0</v>
      </c>
      <c r="BG19" s="88">
        <v>1</v>
      </c>
      <c r="BH19" s="111">
        <v>18.4484645419233</v>
      </c>
      <c r="BI19" s="88">
        <v>2</v>
      </c>
      <c r="BJ19" s="88">
        <v>3</v>
      </c>
      <c r="BK19" s="88">
        <v>2</v>
      </c>
      <c r="BL19" s="88" t="s">
        <v>50</v>
      </c>
      <c r="BM19" s="113">
        <v>2</v>
      </c>
      <c r="BN19" s="88">
        <v>1</v>
      </c>
      <c r="BO19" s="113">
        <v>12.7451285146382</v>
      </c>
      <c r="BP19" s="88">
        <v>1.0439722503547499</v>
      </c>
      <c r="BQ19" s="88">
        <v>5.8394160583941597</v>
      </c>
      <c r="BR19" s="115">
        <v>70.802919708029194</v>
      </c>
      <c r="BS19" s="88">
        <v>0</v>
      </c>
      <c r="BT19" s="88">
        <v>36.861313868613102</v>
      </c>
      <c r="BU19" s="88">
        <v>0</v>
      </c>
      <c r="BV19" s="88">
        <v>9.2485549132948002</v>
      </c>
      <c r="BW19" s="88">
        <v>7.38522576985984</v>
      </c>
      <c r="BX19" s="88">
        <v>590</v>
      </c>
      <c r="BY19" s="88">
        <v>600</v>
      </c>
      <c r="BZ19" s="88">
        <v>15</v>
      </c>
      <c r="CA19" s="88"/>
      <c r="CB19" s="88"/>
      <c r="CC19" s="88"/>
      <c r="CD19" s="88"/>
      <c r="CE19" s="88"/>
      <c r="CF19" s="88" t="s">
        <v>25</v>
      </c>
      <c r="CG19" s="88" t="s">
        <v>25</v>
      </c>
      <c r="CH19" s="88" t="s">
        <v>25</v>
      </c>
      <c r="CI19" s="88" t="s">
        <v>25</v>
      </c>
      <c r="CJ19" s="88" t="s">
        <v>25</v>
      </c>
      <c r="CK19" s="88" t="s">
        <v>25</v>
      </c>
      <c r="CL19" s="88" t="s">
        <v>25</v>
      </c>
      <c r="CM19" s="88" t="s">
        <v>25</v>
      </c>
      <c r="CN19" s="88" t="s">
        <v>25</v>
      </c>
      <c r="CO19" s="88" t="s">
        <v>25</v>
      </c>
      <c r="CP19" s="88"/>
    </row>
    <row r="20" spans="1:94" s="62" customFormat="1">
      <c r="A20" s="63" t="s">
        <v>51</v>
      </c>
      <c r="B20" s="62" t="s">
        <v>17</v>
      </c>
      <c r="C20" s="62" t="s">
        <v>34</v>
      </c>
      <c r="D20" s="109">
        <f>F20-E20</f>
        <v>67</v>
      </c>
      <c r="E20" s="126">
        <v>44087</v>
      </c>
      <c r="F20" s="126">
        <v>44154</v>
      </c>
      <c r="G20" s="110" t="s">
        <v>585</v>
      </c>
      <c r="H20" s="62">
        <v>1</v>
      </c>
      <c r="I20" s="88">
        <v>4</v>
      </c>
      <c r="J20" s="88">
        <v>0</v>
      </c>
      <c r="K20" s="88">
        <v>0</v>
      </c>
      <c r="L20" s="88">
        <v>0</v>
      </c>
      <c r="M20" s="88">
        <v>0</v>
      </c>
      <c r="N20" s="127">
        <v>8.4222904655803692</v>
      </c>
      <c r="O20" s="127">
        <v>0</v>
      </c>
      <c r="P20" s="127">
        <v>1</v>
      </c>
      <c r="Q20" s="127">
        <v>0</v>
      </c>
      <c r="R20" s="127"/>
      <c r="S20" s="127">
        <v>4</v>
      </c>
      <c r="T20" s="88">
        <v>0</v>
      </c>
      <c r="U20" s="127" t="s">
        <v>25</v>
      </c>
      <c r="V20" s="127">
        <v>0.64439946188220099</v>
      </c>
      <c r="W20" s="127">
        <v>12.043795620438001</v>
      </c>
      <c r="X20" s="127">
        <v>73.3576642335766</v>
      </c>
      <c r="Y20" s="127">
        <v>0</v>
      </c>
      <c r="Z20" s="127">
        <v>22.6277372262774</v>
      </c>
      <c r="AA20" s="127">
        <v>20.9677419354839</v>
      </c>
      <c r="AB20" s="127">
        <v>13.605442176870699</v>
      </c>
      <c r="AC20" s="127">
        <v>3.2728925204622601</v>
      </c>
      <c r="AD20" s="127">
        <v>14</v>
      </c>
      <c r="AE20" s="128">
        <v>35</v>
      </c>
      <c r="AF20" s="128">
        <v>0</v>
      </c>
      <c r="AG20" s="128">
        <v>6</v>
      </c>
      <c r="AH20" s="128">
        <v>1</v>
      </c>
      <c r="AI20" s="128">
        <v>1</v>
      </c>
      <c r="AJ20" s="128">
        <v>2</v>
      </c>
      <c r="AK20" s="128">
        <v>0</v>
      </c>
      <c r="AL20" s="128">
        <v>1</v>
      </c>
      <c r="AM20" s="127">
        <v>0.71494406286934697</v>
      </c>
      <c r="AN20" s="127">
        <v>22.992422027876898</v>
      </c>
      <c r="AO20" s="127">
        <v>5.23296142665387</v>
      </c>
      <c r="AP20" s="127">
        <v>39.1727493917275</v>
      </c>
      <c r="AQ20" s="127">
        <v>1</v>
      </c>
      <c r="AR20" s="127">
        <v>1</v>
      </c>
      <c r="AS20" s="127">
        <v>5</v>
      </c>
      <c r="AT20" s="127">
        <v>8</v>
      </c>
      <c r="AU20" s="127">
        <v>1</v>
      </c>
      <c r="AV20" s="127">
        <v>2</v>
      </c>
      <c r="AW20" s="127">
        <v>1</v>
      </c>
      <c r="AX20" s="127">
        <v>0</v>
      </c>
      <c r="AY20" s="127">
        <v>1</v>
      </c>
      <c r="AZ20" s="127">
        <v>0</v>
      </c>
      <c r="BA20" s="127">
        <v>0</v>
      </c>
      <c r="BC20" s="88">
        <v>251</v>
      </c>
      <c r="BD20" s="88">
        <v>4</v>
      </c>
      <c r="BE20" s="88">
        <v>6</v>
      </c>
      <c r="BF20" s="88">
        <v>2</v>
      </c>
      <c r="BG20" s="88">
        <v>0</v>
      </c>
      <c r="BH20" s="111">
        <v>4.5350663202899204</v>
      </c>
      <c r="BI20" s="113">
        <v>3</v>
      </c>
      <c r="BJ20" s="113">
        <v>3</v>
      </c>
      <c r="BK20" s="113">
        <v>2</v>
      </c>
      <c r="BL20" s="88" t="s">
        <v>52</v>
      </c>
      <c r="BM20" s="88">
        <v>5</v>
      </c>
      <c r="BN20" s="88">
        <v>6</v>
      </c>
      <c r="BO20" s="114">
        <v>13.9307216755486</v>
      </c>
      <c r="BP20" s="114">
        <v>8.8390407001793694</v>
      </c>
      <c r="BQ20" s="114">
        <v>43.976067446287701</v>
      </c>
      <c r="BR20" s="114">
        <v>81.261898286646698</v>
      </c>
      <c r="BS20" s="111">
        <v>1</v>
      </c>
      <c r="BT20" s="114">
        <v>37.299428882241003</v>
      </c>
      <c r="BU20" s="114">
        <v>42.872767043383199</v>
      </c>
      <c r="BV20" s="114">
        <v>44.632400780741698</v>
      </c>
      <c r="BW20" s="88">
        <v>4.2231416005018998</v>
      </c>
      <c r="BX20" s="88">
        <v>15</v>
      </c>
      <c r="BY20" s="88">
        <v>360</v>
      </c>
      <c r="BZ20" s="88">
        <v>11</v>
      </c>
      <c r="CA20" s="88">
        <v>1</v>
      </c>
      <c r="CB20" s="88">
        <v>1</v>
      </c>
      <c r="CC20" s="88">
        <v>1</v>
      </c>
      <c r="CD20" s="88">
        <v>0</v>
      </c>
      <c r="CE20" s="88">
        <v>0</v>
      </c>
      <c r="CF20" s="88">
        <v>28.481455563331</v>
      </c>
      <c r="CG20" s="88">
        <v>83.275017494751594</v>
      </c>
      <c r="CH20" s="88">
        <v>0</v>
      </c>
      <c r="CI20" s="88">
        <v>42.687193841847403</v>
      </c>
      <c r="CJ20" s="88">
        <v>25.573770491803302</v>
      </c>
      <c r="CK20" s="88">
        <v>30.647130647130702</v>
      </c>
      <c r="CL20" s="88">
        <v>0</v>
      </c>
      <c r="CM20" s="88" t="s">
        <v>317</v>
      </c>
      <c r="CN20" s="88" t="s">
        <v>318</v>
      </c>
      <c r="CO20" s="88" t="s">
        <v>319</v>
      </c>
      <c r="CP20" s="88"/>
    </row>
    <row r="21" spans="1:94" s="62" customFormat="1">
      <c r="A21" s="63" t="s">
        <v>53</v>
      </c>
      <c r="C21" s="62" t="s">
        <v>34</v>
      </c>
      <c r="D21" s="129"/>
      <c r="F21" s="126">
        <v>44895</v>
      </c>
      <c r="G21" s="110" t="s">
        <v>585</v>
      </c>
      <c r="H21" s="62">
        <v>1</v>
      </c>
      <c r="I21" s="88">
        <v>14</v>
      </c>
      <c r="J21" s="88">
        <v>1</v>
      </c>
      <c r="K21" s="88">
        <v>1</v>
      </c>
      <c r="L21" s="88">
        <v>0</v>
      </c>
      <c r="M21" s="88">
        <v>0</v>
      </c>
      <c r="N21" s="88">
        <v>7.0817852879230196</v>
      </c>
      <c r="O21" s="88">
        <v>0</v>
      </c>
      <c r="P21" s="88">
        <v>1</v>
      </c>
      <c r="Q21" s="88">
        <v>0</v>
      </c>
      <c r="R21" s="88"/>
      <c r="S21" s="88">
        <v>3</v>
      </c>
      <c r="T21" s="88">
        <v>1</v>
      </c>
      <c r="U21" s="88">
        <v>15.5385489221631</v>
      </c>
      <c r="V21" s="88">
        <v>1.0834872540771301</v>
      </c>
      <c r="W21" s="88">
        <v>30.256410256410302</v>
      </c>
      <c r="X21" s="88">
        <v>90.256410256410305</v>
      </c>
      <c r="Y21" s="88">
        <v>1</v>
      </c>
      <c r="Z21" s="88">
        <v>43.3333333333333</v>
      </c>
      <c r="AA21" s="88">
        <v>18.3431952662722</v>
      </c>
      <c r="AB21" s="88">
        <v>39.366515837104103</v>
      </c>
      <c r="AC21" s="88">
        <v>8.6132900694647692</v>
      </c>
      <c r="AD21" s="88">
        <v>4</v>
      </c>
      <c r="AE21" s="88">
        <v>30</v>
      </c>
      <c r="AF21" s="88">
        <v>0</v>
      </c>
      <c r="AG21" s="88">
        <v>1</v>
      </c>
      <c r="AH21" s="88">
        <v>2</v>
      </c>
      <c r="AI21" s="88">
        <v>2</v>
      </c>
      <c r="AJ21" s="88">
        <v>3</v>
      </c>
      <c r="AK21" s="88">
        <v>0</v>
      </c>
      <c r="AL21" s="88">
        <v>0</v>
      </c>
      <c r="AM21" s="88">
        <v>0.26847685755331502</v>
      </c>
      <c r="AN21" s="88">
        <v>30.305199866261201</v>
      </c>
      <c r="AO21" s="88">
        <v>7.3269482960677497</v>
      </c>
      <c r="AP21" s="88">
        <v>31.818181818181799</v>
      </c>
      <c r="AQ21" s="88">
        <v>0</v>
      </c>
      <c r="AR21" s="88">
        <v>0</v>
      </c>
      <c r="AS21" s="88">
        <v>4</v>
      </c>
      <c r="AT21" s="88">
        <v>2</v>
      </c>
      <c r="AU21" s="88">
        <v>1</v>
      </c>
      <c r="AV21" s="88">
        <v>2</v>
      </c>
      <c r="AW21" s="88">
        <v>0</v>
      </c>
      <c r="AX21" s="88">
        <v>0</v>
      </c>
      <c r="AY21" s="88">
        <v>1</v>
      </c>
      <c r="AZ21" s="88">
        <v>1</v>
      </c>
      <c r="BA21" s="88">
        <v>0</v>
      </c>
      <c r="BC21" s="88">
        <v>12</v>
      </c>
      <c r="BD21" s="88">
        <v>0</v>
      </c>
      <c r="BE21" s="88">
        <v>0</v>
      </c>
      <c r="BF21" s="88">
        <v>0</v>
      </c>
      <c r="BG21" s="88">
        <v>1</v>
      </c>
      <c r="BH21" s="111">
        <v>7.33236038126861</v>
      </c>
      <c r="BI21" s="88">
        <v>2</v>
      </c>
      <c r="BJ21" s="88">
        <v>2</v>
      </c>
      <c r="BK21" s="88">
        <v>1</v>
      </c>
      <c r="BL21" s="88" t="s">
        <v>54</v>
      </c>
      <c r="BM21" s="88">
        <v>4</v>
      </c>
      <c r="BN21" s="88">
        <v>1</v>
      </c>
      <c r="BO21" s="88">
        <v>21.558329050459701</v>
      </c>
      <c r="BP21" s="88">
        <v>1.1702089966571001</v>
      </c>
      <c r="BQ21" s="88">
        <v>12.4567474048443</v>
      </c>
      <c r="BR21" s="88">
        <v>84.775086505190302</v>
      </c>
      <c r="BS21" s="88">
        <v>0</v>
      </c>
      <c r="BT21" s="88">
        <v>56.055363321799298</v>
      </c>
      <c r="BU21" s="88">
        <v>17.901234567901199</v>
      </c>
      <c r="BV21" s="88">
        <v>5.5118110236220499</v>
      </c>
      <c r="BW21" s="88">
        <v>8.3426621235816292</v>
      </c>
      <c r="BX21" s="88">
        <v>3</v>
      </c>
      <c r="BY21" s="88">
        <v>50</v>
      </c>
      <c r="BZ21" s="88">
        <v>0</v>
      </c>
      <c r="CA21" s="88">
        <v>2</v>
      </c>
      <c r="CB21" s="88">
        <v>2</v>
      </c>
      <c r="CC21" s="88">
        <v>3</v>
      </c>
      <c r="CD21" s="88">
        <v>0</v>
      </c>
      <c r="CE21" s="88">
        <v>0</v>
      </c>
      <c r="CF21" s="88" t="s">
        <v>25</v>
      </c>
      <c r="CG21" s="88" t="s">
        <v>25</v>
      </c>
      <c r="CH21" s="88" t="s">
        <v>25</v>
      </c>
      <c r="CI21" s="88" t="s">
        <v>25</v>
      </c>
      <c r="CJ21" s="88" t="s">
        <v>25</v>
      </c>
      <c r="CK21" s="88" t="s">
        <v>25</v>
      </c>
      <c r="CL21" s="88" t="s">
        <v>25</v>
      </c>
      <c r="CM21" s="88" t="s">
        <v>25</v>
      </c>
      <c r="CN21" s="88" t="s">
        <v>25</v>
      </c>
      <c r="CO21" s="88" t="s">
        <v>25</v>
      </c>
      <c r="CP21" s="88"/>
    </row>
    <row r="22" spans="1:94" s="62" customFormat="1">
      <c r="A22" s="63" t="s">
        <v>55</v>
      </c>
      <c r="C22" s="62" t="s">
        <v>34</v>
      </c>
      <c r="D22" s="109"/>
      <c r="E22" s="126"/>
      <c r="F22" s="126">
        <v>44895</v>
      </c>
      <c r="G22" s="110" t="s">
        <v>585</v>
      </c>
      <c r="H22" s="62">
        <v>1</v>
      </c>
      <c r="I22" s="88">
        <v>12</v>
      </c>
      <c r="J22" s="88">
        <v>1</v>
      </c>
      <c r="K22" s="88">
        <v>1</v>
      </c>
      <c r="L22" s="88">
        <v>0</v>
      </c>
      <c r="M22" s="88">
        <v>0</v>
      </c>
      <c r="N22" s="88">
        <v>14.9779391957488</v>
      </c>
      <c r="O22" s="88">
        <v>2</v>
      </c>
      <c r="P22" s="88">
        <v>3</v>
      </c>
      <c r="Q22" s="88">
        <v>2</v>
      </c>
      <c r="R22" s="88"/>
      <c r="S22" s="88">
        <v>3</v>
      </c>
      <c r="T22" s="88">
        <v>1</v>
      </c>
      <c r="U22" s="88">
        <v>10.402997858149201</v>
      </c>
      <c r="V22" s="88">
        <v>1.0451670560127699</v>
      </c>
      <c r="W22" s="88">
        <v>10.526315789473699</v>
      </c>
      <c r="X22" s="88">
        <v>80.827067669172905</v>
      </c>
      <c r="Y22" s="88">
        <v>0</v>
      </c>
      <c r="Z22" s="88">
        <v>68.045112781954899</v>
      </c>
      <c r="AA22" s="88">
        <v>15.469613259668501</v>
      </c>
      <c r="AB22" s="88">
        <v>0</v>
      </c>
      <c r="AC22" s="88">
        <v>7.9708570136142596</v>
      </c>
      <c r="AD22" s="125">
        <v>4</v>
      </c>
      <c r="AE22" s="125">
        <v>36</v>
      </c>
      <c r="AF22" s="125">
        <v>4</v>
      </c>
      <c r="AG22" s="125">
        <v>4</v>
      </c>
      <c r="AH22" s="88">
        <v>0</v>
      </c>
      <c r="AI22" s="88">
        <v>0</v>
      </c>
      <c r="AJ22" s="125">
        <v>0</v>
      </c>
      <c r="AK22" s="125">
        <v>0</v>
      </c>
      <c r="AL22" s="125">
        <v>1</v>
      </c>
      <c r="AM22" s="88">
        <v>0.29164794577889103</v>
      </c>
      <c r="AN22" s="88">
        <v>17.317497733267899</v>
      </c>
      <c r="AO22" s="88">
        <v>7.7482119578587003</v>
      </c>
      <c r="AP22" s="88">
        <v>10.6194690265487</v>
      </c>
      <c r="AQ22" s="88">
        <v>0</v>
      </c>
      <c r="AR22" s="88">
        <v>0</v>
      </c>
      <c r="AS22" s="88">
        <v>2</v>
      </c>
      <c r="AT22" s="88">
        <v>0</v>
      </c>
      <c r="AU22" s="88">
        <v>1</v>
      </c>
      <c r="AV22" s="88">
        <v>0</v>
      </c>
      <c r="AW22" s="88">
        <v>0</v>
      </c>
      <c r="AX22" s="88">
        <v>0</v>
      </c>
      <c r="AY22" s="88">
        <v>0</v>
      </c>
      <c r="AZ22" s="88">
        <v>0</v>
      </c>
      <c r="BA22" s="88">
        <v>0</v>
      </c>
      <c r="BC22" s="88">
        <v>94</v>
      </c>
      <c r="BD22" s="88">
        <v>3</v>
      </c>
      <c r="BE22" s="88">
        <v>1</v>
      </c>
      <c r="BF22" s="88">
        <v>0</v>
      </c>
      <c r="BG22" s="88">
        <v>4</v>
      </c>
      <c r="BH22" s="111">
        <v>11.695764007552899</v>
      </c>
      <c r="BI22" s="88">
        <v>2</v>
      </c>
      <c r="BJ22" s="88">
        <v>2</v>
      </c>
      <c r="BK22" s="88">
        <v>1</v>
      </c>
      <c r="BL22" s="88" t="s">
        <v>56</v>
      </c>
      <c r="BM22" s="88">
        <v>2</v>
      </c>
      <c r="BN22" s="88">
        <v>4</v>
      </c>
      <c r="BO22" s="88">
        <v>17.1997809906904</v>
      </c>
      <c r="BP22" s="88">
        <v>4.5921572730825204</v>
      </c>
      <c r="BQ22" s="88">
        <v>41.744772891131902</v>
      </c>
      <c r="BR22" s="88">
        <v>73.395818312905604</v>
      </c>
      <c r="BS22" s="88">
        <v>4</v>
      </c>
      <c r="BT22" s="88">
        <v>40.699351117519797</v>
      </c>
      <c r="BU22" s="88">
        <v>35.872453498671398</v>
      </c>
      <c r="BV22" s="88">
        <v>45.775075987841902</v>
      </c>
      <c r="BW22" s="88">
        <v>8.2186554328769592</v>
      </c>
      <c r="BX22" s="88">
        <v>3</v>
      </c>
      <c r="BY22" s="88">
        <v>118</v>
      </c>
      <c r="BZ22" s="88">
        <v>1</v>
      </c>
      <c r="CA22" s="88">
        <v>1.5</v>
      </c>
      <c r="CB22" s="88">
        <v>1</v>
      </c>
      <c r="CC22" s="88">
        <v>2</v>
      </c>
      <c r="CD22" s="88">
        <v>0</v>
      </c>
      <c r="CE22" s="88">
        <v>0</v>
      </c>
      <c r="CF22" s="88">
        <v>29.190207156308901</v>
      </c>
      <c r="CG22" s="88">
        <v>83.992467043314505</v>
      </c>
      <c r="CH22" s="88">
        <v>2</v>
      </c>
      <c r="CI22" s="88">
        <v>30.225988700565001</v>
      </c>
      <c r="CJ22" s="88">
        <v>12.7725856697819</v>
      </c>
      <c r="CK22" s="88">
        <v>36.302294197031003</v>
      </c>
      <c r="CL22" s="88" t="s">
        <v>320</v>
      </c>
      <c r="CM22" s="88" t="s">
        <v>321</v>
      </c>
      <c r="CN22" s="88" t="s">
        <v>322</v>
      </c>
      <c r="CO22" s="88" t="s">
        <v>323</v>
      </c>
      <c r="CP22" s="88"/>
    </row>
    <row r="23" spans="1:94" s="62" customFormat="1">
      <c r="A23" s="108" t="s">
        <v>57</v>
      </c>
      <c r="B23" s="109" t="s">
        <v>17</v>
      </c>
      <c r="C23" s="109" t="s">
        <v>18</v>
      </c>
      <c r="D23" s="109">
        <f>F23-E23</f>
        <v>73</v>
      </c>
      <c r="E23" s="110">
        <v>44292</v>
      </c>
      <c r="F23" s="110">
        <v>44365</v>
      </c>
      <c r="G23" s="130" t="s">
        <v>586</v>
      </c>
      <c r="H23" s="62">
        <v>1</v>
      </c>
      <c r="I23" s="115">
        <v>30</v>
      </c>
      <c r="J23" s="119">
        <v>3</v>
      </c>
      <c r="K23" s="119">
        <v>0</v>
      </c>
      <c r="L23" s="119">
        <v>0</v>
      </c>
      <c r="M23" s="119">
        <v>1</v>
      </c>
      <c r="N23" s="88">
        <v>6.9850928898978797</v>
      </c>
      <c r="O23" s="115">
        <v>0</v>
      </c>
      <c r="P23" s="115">
        <v>1</v>
      </c>
      <c r="Q23" s="116">
        <v>0</v>
      </c>
      <c r="R23" s="116"/>
      <c r="S23" s="88">
        <v>3</v>
      </c>
      <c r="T23" s="119">
        <v>4</v>
      </c>
      <c r="U23" s="88">
        <v>13.3715162399946</v>
      </c>
      <c r="V23" s="88">
        <v>2.64971815970461</v>
      </c>
      <c r="W23" s="88">
        <v>13.286713286713301</v>
      </c>
      <c r="X23" s="88">
        <v>69.230769230769198</v>
      </c>
      <c r="Y23" s="88">
        <v>3</v>
      </c>
      <c r="Z23" s="88">
        <v>49.650349650349703</v>
      </c>
      <c r="AA23" s="88">
        <v>11.502347417840401</v>
      </c>
      <c r="AB23" s="88">
        <v>14.882506527415099</v>
      </c>
      <c r="AC23" s="88">
        <v>10.2890374404318</v>
      </c>
      <c r="AD23" s="117">
        <v>2</v>
      </c>
      <c r="AE23" s="118">
        <f>48-6</f>
        <v>42</v>
      </c>
      <c r="AF23" s="118">
        <v>0.5</v>
      </c>
      <c r="AG23" s="118">
        <v>0.5</v>
      </c>
      <c r="AH23" s="118">
        <v>1</v>
      </c>
      <c r="AI23" s="118">
        <v>2</v>
      </c>
      <c r="AJ23" s="118">
        <v>1</v>
      </c>
      <c r="AK23" s="118">
        <v>0</v>
      </c>
      <c r="AL23" s="118">
        <v>0</v>
      </c>
      <c r="AM23" s="88">
        <v>6.5268605308188898E-2</v>
      </c>
      <c r="AN23" s="88">
        <v>26.070390157390499</v>
      </c>
      <c r="AO23" s="88">
        <v>3.2656252313300702</v>
      </c>
      <c r="AP23" s="88">
        <v>51.6666666666667</v>
      </c>
      <c r="AQ23" s="115">
        <v>1</v>
      </c>
      <c r="AR23" s="115">
        <v>1</v>
      </c>
      <c r="AS23" s="115">
        <v>5</v>
      </c>
      <c r="AT23" s="119">
        <v>3</v>
      </c>
      <c r="AU23" s="115">
        <v>3</v>
      </c>
      <c r="AV23" s="88">
        <v>3</v>
      </c>
      <c r="AW23" s="88">
        <v>0</v>
      </c>
      <c r="AX23" s="88">
        <v>3</v>
      </c>
      <c r="AY23" s="88">
        <v>0</v>
      </c>
      <c r="AZ23" s="88">
        <v>0</v>
      </c>
      <c r="BA23" s="88">
        <v>0</v>
      </c>
      <c r="BC23" s="111">
        <v>175</v>
      </c>
      <c r="BD23" s="112">
        <v>6</v>
      </c>
      <c r="BE23" s="112">
        <v>5</v>
      </c>
      <c r="BF23" s="112">
        <v>0</v>
      </c>
      <c r="BG23" s="112">
        <v>6</v>
      </c>
      <c r="BH23" s="111">
        <v>2.9150863911011702</v>
      </c>
      <c r="BI23" s="113">
        <v>3</v>
      </c>
      <c r="BJ23" s="113">
        <v>3</v>
      </c>
      <c r="BK23" s="113">
        <v>1</v>
      </c>
      <c r="BL23" s="88" t="s">
        <v>58</v>
      </c>
      <c r="BM23" s="112">
        <v>4</v>
      </c>
      <c r="BN23" s="112">
        <v>11</v>
      </c>
      <c r="BO23" s="114">
        <v>11.0736920986878</v>
      </c>
      <c r="BP23" s="114">
        <v>11.6991414823603</v>
      </c>
      <c r="BQ23" s="114">
        <v>26.142665901701999</v>
      </c>
      <c r="BR23" s="114">
        <v>52.113214763817197</v>
      </c>
      <c r="BS23" s="111">
        <v>26</v>
      </c>
      <c r="BT23" s="114">
        <v>36.469688276917203</v>
      </c>
      <c r="BU23" s="114">
        <v>23.859465128474</v>
      </c>
      <c r="BV23" s="114">
        <v>27.453341360626101</v>
      </c>
      <c r="BW23" s="88">
        <v>8.0133270173910205</v>
      </c>
      <c r="BX23" s="131">
        <v>4</v>
      </c>
      <c r="BY23" s="111">
        <v>235</v>
      </c>
      <c r="BZ23" s="111">
        <v>0</v>
      </c>
      <c r="CA23" s="111">
        <v>1</v>
      </c>
      <c r="CB23" s="111">
        <v>1</v>
      </c>
      <c r="CC23" s="111">
        <v>2</v>
      </c>
      <c r="CD23" s="111">
        <v>0</v>
      </c>
      <c r="CE23" s="111">
        <v>0</v>
      </c>
      <c r="CF23" s="88">
        <v>14.3019296254257</v>
      </c>
      <c r="CG23" s="88">
        <v>57.548240635641299</v>
      </c>
      <c r="CH23" s="88">
        <v>5</v>
      </c>
      <c r="CI23" s="88">
        <v>43.019296254256503</v>
      </c>
      <c r="CJ23" s="88">
        <v>13.9841688654354</v>
      </c>
      <c r="CK23" s="88">
        <v>14.5418326693227</v>
      </c>
      <c r="CL23" s="88" t="s">
        <v>324</v>
      </c>
      <c r="CM23" s="88" t="s">
        <v>325</v>
      </c>
      <c r="CN23" s="88" t="s">
        <v>326</v>
      </c>
      <c r="CO23" s="88" t="s">
        <v>327</v>
      </c>
      <c r="CP23" s="88"/>
    </row>
    <row r="24" spans="1:94" s="62" customFormat="1">
      <c r="A24" s="63" t="s">
        <v>59</v>
      </c>
      <c r="B24" s="62" t="s">
        <v>17</v>
      </c>
      <c r="C24" s="62" t="s">
        <v>34</v>
      </c>
      <c r="D24" s="109">
        <f>F24-E24</f>
        <v>64</v>
      </c>
      <c r="E24" s="126">
        <v>43983</v>
      </c>
      <c r="F24" s="126">
        <v>44047</v>
      </c>
      <c r="G24" s="130" t="s">
        <v>586</v>
      </c>
      <c r="H24" s="62">
        <v>1</v>
      </c>
      <c r="I24" s="88">
        <v>5</v>
      </c>
      <c r="J24" s="88">
        <v>0</v>
      </c>
      <c r="K24" s="88">
        <v>0</v>
      </c>
      <c r="L24" s="88">
        <v>0</v>
      </c>
      <c r="M24" s="88">
        <v>0</v>
      </c>
      <c r="N24" s="88">
        <v>9.0748494530991604</v>
      </c>
      <c r="O24" s="88">
        <v>2</v>
      </c>
      <c r="P24" s="88">
        <v>3</v>
      </c>
      <c r="Q24" s="88">
        <v>2</v>
      </c>
      <c r="R24" s="88"/>
      <c r="S24" s="88">
        <v>5</v>
      </c>
      <c r="T24" s="88">
        <v>0</v>
      </c>
      <c r="U24" s="88">
        <v>4.4788516712258097</v>
      </c>
      <c r="V24" s="88">
        <v>0.37156314215457797</v>
      </c>
      <c r="W24" s="88">
        <v>16.25</v>
      </c>
      <c r="X24" s="88">
        <v>100</v>
      </c>
      <c r="Y24" s="88">
        <v>0</v>
      </c>
      <c r="Z24" s="88">
        <v>46.25</v>
      </c>
      <c r="AA24" s="88">
        <v>13.5135135135135</v>
      </c>
      <c r="AB24" s="88">
        <v>18.604651162790699</v>
      </c>
      <c r="AC24" s="88">
        <v>11.431397851148599</v>
      </c>
      <c r="AD24" s="63">
        <v>595</v>
      </c>
      <c r="AE24" s="88">
        <v>600</v>
      </c>
      <c r="AF24" s="88">
        <f>38-11</f>
        <v>27</v>
      </c>
      <c r="AG24" s="125">
        <v>27</v>
      </c>
      <c r="AH24" s="88">
        <v>72</v>
      </c>
      <c r="AI24" s="115">
        <v>3</v>
      </c>
      <c r="AJ24" s="115">
        <v>1</v>
      </c>
      <c r="AK24" s="115">
        <v>30</v>
      </c>
      <c r="AL24" s="115">
        <v>53</v>
      </c>
      <c r="AM24" s="88">
        <v>23.258490645889601</v>
      </c>
      <c r="AN24" s="88">
        <v>31.364394529669401</v>
      </c>
      <c r="AO24" s="88">
        <v>3.9117495237263502</v>
      </c>
      <c r="AP24" s="115">
        <v>50.097803610350397</v>
      </c>
      <c r="AQ24" s="88" t="s">
        <v>25</v>
      </c>
      <c r="AR24" s="88" t="s">
        <v>25</v>
      </c>
      <c r="AS24" s="88" t="s">
        <v>25</v>
      </c>
      <c r="AT24" s="88" t="s">
        <v>25</v>
      </c>
      <c r="AU24" s="88">
        <v>2</v>
      </c>
      <c r="AV24" s="88">
        <v>53</v>
      </c>
      <c r="AW24" s="88">
        <v>19</v>
      </c>
      <c r="AX24" s="88">
        <v>10</v>
      </c>
      <c r="AY24" s="88">
        <v>5</v>
      </c>
      <c r="AZ24" s="88">
        <v>17</v>
      </c>
      <c r="BA24" s="88">
        <v>2</v>
      </c>
      <c r="BC24" s="88">
        <v>600</v>
      </c>
      <c r="BD24" s="115">
        <v>13</v>
      </c>
      <c r="BE24" s="115">
        <v>21</v>
      </c>
      <c r="BF24" s="115">
        <v>4</v>
      </c>
      <c r="BG24" s="115">
        <v>7</v>
      </c>
      <c r="BH24" s="111" t="s">
        <v>25</v>
      </c>
      <c r="BI24" s="88">
        <v>5</v>
      </c>
      <c r="BJ24" s="113">
        <v>5</v>
      </c>
      <c r="BK24" s="113">
        <v>5</v>
      </c>
      <c r="BL24" s="88" t="s">
        <v>26</v>
      </c>
      <c r="BM24" s="88">
        <v>3</v>
      </c>
      <c r="BN24" s="88">
        <v>28</v>
      </c>
      <c r="BO24" s="88">
        <v>20.476695239226</v>
      </c>
      <c r="BP24" s="88">
        <v>26.133424502917599</v>
      </c>
      <c r="BQ24" s="88">
        <v>46.171745152354603</v>
      </c>
      <c r="BR24" s="88">
        <v>43.163434903047097</v>
      </c>
      <c r="BS24" s="88">
        <v>58</v>
      </c>
      <c r="BT24" s="88">
        <v>46.853185595567901</v>
      </c>
      <c r="BU24" s="88">
        <v>49.556580347641003</v>
      </c>
      <c r="BV24" s="88">
        <v>43.187741061190501</v>
      </c>
      <c r="BW24" s="88" t="s">
        <v>25</v>
      </c>
      <c r="BX24" s="111" t="s">
        <v>25</v>
      </c>
      <c r="BY24" s="88">
        <v>600</v>
      </c>
      <c r="BZ24" s="88" t="s">
        <v>25</v>
      </c>
      <c r="CA24" s="88" t="s">
        <v>25</v>
      </c>
      <c r="CB24" s="88" t="s">
        <v>25</v>
      </c>
      <c r="CC24" s="88" t="s">
        <v>25</v>
      </c>
      <c r="CD24" s="88" t="s">
        <v>25</v>
      </c>
      <c r="CE24" s="88" t="s">
        <v>25</v>
      </c>
      <c r="CF24" s="88">
        <v>25.985844287158699</v>
      </c>
      <c r="CG24" s="88">
        <v>83.822042467138502</v>
      </c>
      <c r="CH24" s="88">
        <v>4</v>
      </c>
      <c r="CI24" s="88">
        <v>37.714863498483297</v>
      </c>
      <c r="CJ24" s="88">
        <v>20.375335120643399</v>
      </c>
      <c r="CK24" s="88">
        <v>29.383116883116902</v>
      </c>
      <c r="CL24" s="88">
        <v>0</v>
      </c>
      <c r="CM24" s="88" t="s">
        <v>328</v>
      </c>
      <c r="CN24" s="88" t="s">
        <v>329</v>
      </c>
      <c r="CO24" s="88" t="s">
        <v>330</v>
      </c>
      <c r="CP24" s="88"/>
    </row>
    <row r="25" spans="1:94" s="62" customFormat="1">
      <c r="A25" s="63" t="s">
        <v>60</v>
      </c>
      <c r="B25" s="62" t="s">
        <v>17</v>
      </c>
      <c r="C25" s="62" t="s">
        <v>34</v>
      </c>
      <c r="D25" s="109">
        <f>F25-E25</f>
        <v>56</v>
      </c>
      <c r="E25" s="126">
        <v>43999</v>
      </c>
      <c r="F25" s="126">
        <v>44055</v>
      </c>
      <c r="G25" s="130" t="s">
        <v>586</v>
      </c>
      <c r="H25" s="62">
        <v>1</v>
      </c>
      <c r="I25" s="88">
        <v>10</v>
      </c>
      <c r="J25" s="88">
        <v>0</v>
      </c>
      <c r="K25" s="88">
        <v>0</v>
      </c>
      <c r="L25" s="88">
        <v>0</v>
      </c>
      <c r="M25" s="88">
        <v>1</v>
      </c>
      <c r="N25" s="88">
        <v>11.476298969771401</v>
      </c>
      <c r="O25" s="88">
        <v>3</v>
      </c>
      <c r="P25" s="88">
        <v>3</v>
      </c>
      <c r="Q25" s="88">
        <v>1</v>
      </c>
      <c r="R25" s="88"/>
      <c r="S25" s="88">
        <v>3</v>
      </c>
      <c r="T25" s="88">
        <v>1</v>
      </c>
      <c r="U25" s="88">
        <v>17.729246465303</v>
      </c>
      <c r="V25" s="88">
        <v>1.1428403745728399</v>
      </c>
      <c r="W25" s="88">
        <v>8.1081081081081106</v>
      </c>
      <c r="X25" s="88">
        <v>100</v>
      </c>
      <c r="Y25" s="88">
        <v>0</v>
      </c>
      <c r="Z25" s="88">
        <v>57.915057915057901</v>
      </c>
      <c r="AA25" s="88">
        <v>10</v>
      </c>
      <c r="AB25" s="88">
        <v>5.5045871559632999</v>
      </c>
      <c r="AC25" s="88">
        <v>9.3051503380861593</v>
      </c>
      <c r="AD25" s="88">
        <v>4</v>
      </c>
      <c r="AE25" s="88">
        <v>28</v>
      </c>
      <c r="AF25" s="88">
        <v>2</v>
      </c>
      <c r="AG25" s="125">
        <v>2</v>
      </c>
      <c r="AH25" s="88">
        <v>0.5</v>
      </c>
      <c r="AI25" s="115">
        <v>1</v>
      </c>
      <c r="AJ25" s="115">
        <v>3</v>
      </c>
      <c r="AK25" s="115">
        <v>0</v>
      </c>
      <c r="AL25" s="115">
        <v>0</v>
      </c>
      <c r="AM25" s="88">
        <v>0.40397804770151902</v>
      </c>
      <c r="AN25" s="88">
        <v>42.670942182250798</v>
      </c>
      <c r="AO25" s="88">
        <v>10.2992194531629</v>
      </c>
      <c r="AP25" s="115">
        <v>26.271186440678001</v>
      </c>
      <c r="AQ25" s="88">
        <v>1</v>
      </c>
      <c r="AR25" s="88">
        <v>1</v>
      </c>
      <c r="AS25" s="115">
        <v>6</v>
      </c>
      <c r="AT25" s="115">
        <v>9</v>
      </c>
      <c r="AU25" s="88">
        <v>2</v>
      </c>
      <c r="AV25" s="88">
        <v>1</v>
      </c>
      <c r="AW25" s="88">
        <v>0</v>
      </c>
      <c r="AX25" s="88">
        <v>1</v>
      </c>
      <c r="AY25" s="88">
        <v>0</v>
      </c>
      <c r="AZ25" s="88">
        <v>0</v>
      </c>
      <c r="BA25" s="88">
        <v>0</v>
      </c>
      <c r="BC25" s="88">
        <v>1</v>
      </c>
      <c r="BD25" s="88">
        <v>0</v>
      </c>
      <c r="BE25" s="88">
        <v>0</v>
      </c>
      <c r="BF25" s="88">
        <v>0</v>
      </c>
      <c r="BG25" s="88">
        <v>0</v>
      </c>
      <c r="BH25" s="111">
        <v>18.694373814363299</v>
      </c>
      <c r="BI25" s="88">
        <v>0</v>
      </c>
      <c r="BJ25" s="113">
        <v>1</v>
      </c>
      <c r="BK25" s="113">
        <v>0</v>
      </c>
      <c r="BL25" s="88" t="s">
        <v>61</v>
      </c>
      <c r="BM25" s="88">
        <v>1</v>
      </c>
      <c r="BN25" s="88">
        <v>0</v>
      </c>
      <c r="BO25" s="88">
        <v>11.4732857198031</v>
      </c>
      <c r="BP25" s="88">
        <v>0.105637624057072</v>
      </c>
      <c r="BQ25" s="88">
        <v>0</v>
      </c>
      <c r="BR25" s="88">
        <v>54.545454545454596</v>
      </c>
      <c r="BS25" s="88">
        <v>0</v>
      </c>
      <c r="BT25" s="88">
        <v>90.909090909090907</v>
      </c>
      <c r="BU25" s="88">
        <v>0</v>
      </c>
      <c r="BV25" s="88">
        <v>0</v>
      </c>
      <c r="BW25" s="88">
        <v>13.187862612699901</v>
      </c>
      <c r="BX25" s="88">
        <v>5</v>
      </c>
      <c r="BY25" s="88">
        <v>22</v>
      </c>
      <c r="BZ25" s="88">
        <v>0</v>
      </c>
      <c r="CA25" s="88">
        <v>1</v>
      </c>
      <c r="CB25" s="88">
        <v>2</v>
      </c>
      <c r="CC25" s="88">
        <v>3</v>
      </c>
      <c r="CD25" s="88">
        <v>0</v>
      </c>
      <c r="CE25" s="88">
        <v>0</v>
      </c>
      <c r="CF25" s="88" t="s">
        <v>25</v>
      </c>
      <c r="CG25" s="88" t="s">
        <v>25</v>
      </c>
      <c r="CH25" s="88" t="s">
        <v>25</v>
      </c>
      <c r="CI25" s="88" t="s">
        <v>25</v>
      </c>
      <c r="CJ25" s="88" t="s">
        <v>25</v>
      </c>
      <c r="CK25" s="88" t="s">
        <v>25</v>
      </c>
      <c r="CL25" s="88" t="s">
        <v>25</v>
      </c>
      <c r="CM25" s="88" t="s">
        <v>25</v>
      </c>
      <c r="CN25" s="88" t="s">
        <v>25</v>
      </c>
      <c r="CO25" s="88" t="s">
        <v>25</v>
      </c>
      <c r="CP25" s="88"/>
    </row>
    <row r="26" spans="1:94" s="62" customFormat="1">
      <c r="A26" s="63" t="s">
        <v>62</v>
      </c>
      <c r="B26" s="62" t="s">
        <v>17</v>
      </c>
      <c r="C26" s="62" t="s">
        <v>34</v>
      </c>
      <c r="D26" s="109">
        <f>F26-E26</f>
        <v>66</v>
      </c>
      <c r="E26" s="126">
        <v>44068</v>
      </c>
      <c r="F26" s="126">
        <v>44134</v>
      </c>
      <c r="G26" s="130" t="s">
        <v>586</v>
      </c>
      <c r="H26" s="62">
        <v>1</v>
      </c>
      <c r="I26" s="88">
        <v>5</v>
      </c>
      <c r="J26" s="88">
        <v>0</v>
      </c>
      <c r="K26" s="88">
        <v>0</v>
      </c>
      <c r="L26" s="88">
        <v>0</v>
      </c>
      <c r="M26" s="88">
        <v>0</v>
      </c>
      <c r="N26" s="88">
        <v>4.9550850353168201</v>
      </c>
      <c r="O26" s="88">
        <v>0</v>
      </c>
      <c r="P26" s="88">
        <v>1</v>
      </c>
      <c r="Q26" s="88">
        <v>0</v>
      </c>
      <c r="R26" s="88"/>
      <c r="S26" s="88">
        <v>5</v>
      </c>
      <c r="T26" s="88">
        <v>0</v>
      </c>
      <c r="U26" s="88">
        <v>8.5004300610902597</v>
      </c>
      <c r="V26" s="88">
        <v>0.394866280155104</v>
      </c>
      <c r="W26" s="88">
        <v>21.348314606741599</v>
      </c>
      <c r="X26" s="88">
        <v>94.943820224719104</v>
      </c>
      <c r="Y26" s="88">
        <v>0</v>
      </c>
      <c r="Z26" s="88">
        <v>44.382022471910098</v>
      </c>
      <c r="AA26" s="88">
        <v>46.835443037974699</v>
      </c>
      <c r="AB26" s="88">
        <v>1.0101010101010099</v>
      </c>
      <c r="AC26" s="88">
        <v>1.95802838143456</v>
      </c>
      <c r="AD26" s="88">
        <v>210</v>
      </c>
      <c r="AE26" s="88">
        <v>220</v>
      </c>
      <c r="AF26" s="88">
        <v>1</v>
      </c>
      <c r="AG26" s="125">
        <v>1</v>
      </c>
      <c r="AH26" s="88">
        <v>41</v>
      </c>
      <c r="AI26" s="115">
        <v>3</v>
      </c>
      <c r="AJ26" s="115">
        <v>3</v>
      </c>
      <c r="AK26" s="115">
        <v>11</v>
      </c>
      <c r="AL26" s="115">
        <v>8</v>
      </c>
      <c r="AM26" s="88">
        <v>8.6165057576167694</v>
      </c>
      <c r="AN26" s="88">
        <v>28.464665211944101</v>
      </c>
      <c r="AO26" s="88">
        <v>4.2322771621347899</v>
      </c>
      <c r="AP26" s="115">
        <v>48.8</v>
      </c>
      <c r="AQ26" s="88">
        <v>0</v>
      </c>
      <c r="AR26" s="88">
        <v>0</v>
      </c>
      <c r="AS26" s="88">
        <v>0</v>
      </c>
      <c r="AT26" s="115">
        <v>1</v>
      </c>
      <c r="AU26" s="88">
        <v>1</v>
      </c>
      <c r="AV26" s="88">
        <v>40</v>
      </c>
      <c r="AW26" s="88">
        <v>9</v>
      </c>
      <c r="AX26" s="88">
        <v>7</v>
      </c>
      <c r="AY26" s="88">
        <v>7</v>
      </c>
      <c r="AZ26" s="88">
        <v>5</v>
      </c>
      <c r="BA26" s="88">
        <v>2</v>
      </c>
      <c r="BC26" s="88">
        <v>6</v>
      </c>
      <c r="BD26" s="88">
        <v>0</v>
      </c>
      <c r="BE26" s="88">
        <v>0</v>
      </c>
      <c r="BF26" s="88">
        <v>0</v>
      </c>
      <c r="BG26" s="88">
        <v>0</v>
      </c>
      <c r="BH26" s="111">
        <v>11.9326238052852</v>
      </c>
      <c r="BI26" s="88">
        <v>0</v>
      </c>
      <c r="BJ26" s="113">
        <v>1</v>
      </c>
      <c r="BK26" s="113">
        <v>0</v>
      </c>
      <c r="BL26" s="88" t="s">
        <v>63</v>
      </c>
      <c r="BM26" s="88">
        <v>6</v>
      </c>
      <c r="BN26" s="88">
        <v>0</v>
      </c>
      <c r="BO26" s="88">
        <v>6.64591687285865</v>
      </c>
      <c r="BP26" s="88">
        <v>0.61434763955671701</v>
      </c>
      <c r="BQ26" s="88">
        <v>17.098445595854901</v>
      </c>
      <c r="BR26" s="88">
        <v>100</v>
      </c>
      <c r="BS26" s="88">
        <v>0</v>
      </c>
      <c r="BT26" s="88">
        <v>43.005181347150298</v>
      </c>
      <c r="BU26" s="88">
        <v>26.506024096385499</v>
      </c>
      <c r="BV26" s="88">
        <v>10</v>
      </c>
      <c r="BW26" s="88">
        <v>4.5062655280589698</v>
      </c>
      <c r="BX26" s="88">
        <v>1</v>
      </c>
      <c r="BY26" s="88">
        <v>23</v>
      </c>
      <c r="BZ26" s="88">
        <v>0</v>
      </c>
      <c r="CA26" s="88">
        <v>0</v>
      </c>
      <c r="CB26" s="88">
        <v>0</v>
      </c>
      <c r="CC26" s="88">
        <v>3</v>
      </c>
      <c r="CD26" s="88">
        <v>0</v>
      </c>
      <c r="CE26" s="88">
        <v>0</v>
      </c>
      <c r="CF26" s="88" t="s">
        <v>25</v>
      </c>
      <c r="CG26" s="88" t="s">
        <v>25</v>
      </c>
      <c r="CH26" s="88" t="s">
        <v>25</v>
      </c>
      <c r="CI26" s="88" t="s">
        <v>25</v>
      </c>
      <c r="CJ26" s="88" t="s">
        <v>25</v>
      </c>
      <c r="CK26" s="88" t="s">
        <v>25</v>
      </c>
      <c r="CL26" s="88" t="s">
        <v>25</v>
      </c>
      <c r="CM26" s="88" t="s">
        <v>25</v>
      </c>
      <c r="CN26" s="88" t="s">
        <v>25</v>
      </c>
      <c r="CO26" s="88" t="s">
        <v>25</v>
      </c>
      <c r="CP26" s="88"/>
    </row>
    <row r="27" spans="1:94" s="62" customFormat="1">
      <c r="A27" s="63" t="s">
        <v>64</v>
      </c>
      <c r="B27" s="62" t="s">
        <v>17</v>
      </c>
      <c r="C27" s="62" t="s">
        <v>34</v>
      </c>
      <c r="D27" s="109"/>
      <c r="E27" s="126"/>
      <c r="F27" s="126">
        <v>44895</v>
      </c>
      <c r="G27" s="130" t="s">
        <v>586</v>
      </c>
      <c r="H27" s="62">
        <v>1</v>
      </c>
      <c r="I27" s="88">
        <v>6</v>
      </c>
      <c r="J27" s="88">
        <v>1</v>
      </c>
      <c r="K27" s="88">
        <v>0</v>
      </c>
      <c r="L27" s="88">
        <v>0</v>
      </c>
      <c r="M27" s="88">
        <v>1</v>
      </c>
      <c r="N27" s="88">
        <v>6.0675479219925803</v>
      </c>
      <c r="O27" s="88">
        <v>0</v>
      </c>
      <c r="P27" s="88">
        <v>1</v>
      </c>
      <c r="Q27" s="88">
        <v>0</v>
      </c>
      <c r="R27" s="88"/>
      <c r="S27" s="88">
        <v>2</v>
      </c>
      <c r="T27" s="88">
        <v>1</v>
      </c>
      <c r="U27" s="88">
        <v>14.029885114634601</v>
      </c>
      <c r="V27" s="88">
        <v>0.52940628436290105</v>
      </c>
      <c r="W27" s="88">
        <v>11.320754716981099</v>
      </c>
      <c r="X27" s="88">
        <v>93.710691823899396</v>
      </c>
      <c r="Y27" s="88">
        <v>0</v>
      </c>
      <c r="Z27" s="88">
        <v>83.018867924528294</v>
      </c>
      <c r="AA27" s="88">
        <v>13.636363636363599</v>
      </c>
      <c r="AB27" s="88">
        <v>0</v>
      </c>
      <c r="AC27" s="88">
        <v>5.1322298791607599</v>
      </c>
      <c r="AD27" s="125">
        <v>6</v>
      </c>
      <c r="AE27" s="125">
        <f>32-6</f>
        <v>26</v>
      </c>
      <c r="AF27" s="125">
        <v>0</v>
      </c>
      <c r="AG27" s="125">
        <v>0.5</v>
      </c>
      <c r="AH27" s="125">
        <v>5</v>
      </c>
      <c r="AI27" s="125">
        <v>2</v>
      </c>
      <c r="AJ27" s="125">
        <v>3</v>
      </c>
      <c r="AK27" s="125">
        <v>0</v>
      </c>
      <c r="AL27" s="125">
        <v>0</v>
      </c>
      <c r="AM27" s="88">
        <v>0.292243015463234</v>
      </c>
      <c r="AN27" s="88">
        <v>33.663778596543999</v>
      </c>
      <c r="AO27" s="88">
        <v>4.7168407862007102</v>
      </c>
      <c r="AP27" s="88">
        <v>47.311827956989298</v>
      </c>
      <c r="AQ27" s="88">
        <v>0</v>
      </c>
      <c r="AR27" s="88">
        <v>0</v>
      </c>
      <c r="AS27" s="88">
        <v>6</v>
      </c>
      <c r="AT27" s="88">
        <v>7</v>
      </c>
      <c r="AU27" s="88">
        <v>1</v>
      </c>
      <c r="AV27" s="88">
        <v>2</v>
      </c>
      <c r="AW27" s="88">
        <v>0</v>
      </c>
      <c r="AX27" s="88">
        <v>0</v>
      </c>
      <c r="AY27" s="88">
        <v>0</v>
      </c>
      <c r="AZ27" s="88">
        <v>2</v>
      </c>
      <c r="BA27" s="88">
        <v>0</v>
      </c>
      <c r="BC27" s="88">
        <v>330</v>
      </c>
      <c r="BD27" s="88">
        <v>7</v>
      </c>
      <c r="BE27" s="88">
        <v>9</v>
      </c>
      <c r="BF27" s="88">
        <v>0</v>
      </c>
      <c r="BG27" s="88">
        <v>2</v>
      </c>
      <c r="BH27" s="111">
        <v>3.3972671560675698</v>
      </c>
      <c r="BI27" s="113">
        <v>3</v>
      </c>
      <c r="BJ27" s="113">
        <v>3</v>
      </c>
      <c r="BK27" s="113">
        <v>2</v>
      </c>
      <c r="BL27" s="88" t="s">
        <v>65</v>
      </c>
      <c r="BM27" s="113">
        <v>4</v>
      </c>
      <c r="BN27" s="88">
        <v>12</v>
      </c>
      <c r="BO27" s="113">
        <v>13.176243975083899</v>
      </c>
      <c r="BP27" s="88">
        <v>12.1593915632209</v>
      </c>
      <c r="BQ27" s="88">
        <v>54.731796859065902</v>
      </c>
      <c r="BR27" s="115">
        <v>54.405466041199297</v>
      </c>
      <c r="BS27" s="88">
        <v>26</v>
      </c>
      <c r="BT27" s="88">
        <v>41.7703446869264</v>
      </c>
      <c r="BU27" s="88">
        <v>51.26953125</v>
      </c>
      <c r="BV27" s="88">
        <v>57.215411558668997</v>
      </c>
      <c r="BW27" s="88">
        <v>8.3657145459256395</v>
      </c>
      <c r="BX27" s="88">
        <v>13</v>
      </c>
      <c r="BY27" s="88">
        <f>8*60+30</f>
        <v>510</v>
      </c>
      <c r="BZ27" s="88">
        <v>3</v>
      </c>
      <c r="CA27" s="88"/>
      <c r="CB27" s="88">
        <v>3</v>
      </c>
      <c r="CC27" s="88">
        <v>2</v>
      </c>
      <c r="CD27" s="88">
        <v>0</v>
      </c>
      <c r="CE27" s="88">
        <v>0</v>
      </c>
      <c r="CF27" s="88">
        <v>45.778466305189802</v>
      </c>
      <c r="CG27" s="88">
        <v>94.810224632068199</v>
      </c>
      <c r="CH27" s="88">
        <v>2</v>
      </c>
      <c r="CI27" s="88">
        <v>48.644461657629797</v>
      </c>
      <c r="CJ27" s="88">
        <v>40.9235668789809</v>
      </c>
      <c r="CK27" s="88">
        <v>50.377073906485698</v>
      </c>
      <c r="CL27" s="88" t="s">
        <v>331</v>
      </c>
      <c r="CM27" s="88" t="s">
        <v>332</v>
      </c>
      <c r="CN27" s="88" t="s">
        <v>333</v>
      </c>
      <c r="CO27" s="88" t="s">
        <v>334</v>
      </c>
      <c r="CP27" s="88"/>
    </row>
    <row r="28" spans="1:94" s="62" customFormat="1">
      <c r="A28" s="63" t="s">
        <v>66</v>
      </c>
      <c r="B28" s="62" t="s">
        <v>17</v>
      </c>
      <c r="C28" s="62" t="s">
        <v>34</v>
      </c>
      <c r="D28" s="109"/>
      <c r="E28" s="126"/>
      <c r="F28" s="126">
        <v>44895</v>
      </c>
      <c r="G28" s="130" t="s">
        <v>586</v>
      </c>
      <c r="H28" s="62">
        <v>1</v>
      </c>
      <c r="I28" s="88">
        <v>2</v>
      </c>
      <c r="J28" s="88">
        <v>0</v>
      </c>
      <c r="K28" s="88">
        <v>0</v>
      </c>
      <c r="L28" s="88">
        <v>0</v>
      </c>
      <c r="M28" s="88">
        <v>0</v>
      </c>
      <c r="N28" s="88">
        <v>12.7022760709966</v>
      </c>
      <c r="O28" s="88">
        <v>0</v>
      </c>
      <c r="P28" s="88">
        <v>1</v>
      </c>
      <c r="Q28" s="88">
        <v>1</v>
      </c>
      <c r="R28" s="88"/>
      <c r="S28" s="88">
        <v>2</v>
      </c>
      <c r="T28" s="88">
        <v>0</v>
      </c>
      <c r="U28" s="88">
        <v>13.3711854351937</v>
      </c>
      <c r="V28" s="88">
        <v>0.24539721303734299</v>
      </c>
      <c r="W28" s="88">
        <v>12.698412698412699</v>
      </c>
      <c r="X28" s="88">
        <v>100</v>
      </c>
      <c r="Y28" s="88">
        <v>0</v>
      </c>
      <c r="Z28" s="88">
        <v>74.603174603174594</v>
      </c>
      <c r="AA28" s="88">
        <v>17.021276595744698</v>
      </c>
      <c r="AB28" s="88">
        <v>0</v>
      </c>
      <c r="AC28" s="88">
        <v>2.86101325328434</v>
      </c>
      <c r="AD28" s="88">
        <v>3</v>
      </c>
      <c r="AE28" s="125">
        <f>34-7</f>
        <v>27</v>
      </c>
      <c r="AF28" s="125">
        <v>0.5</v>
      </c>
      <c r="AG28" s="125">
        <v>1</v>
      </c>
      <c r="AH28" s="125">
        <v>2</v>
      </c>
      <c r="AI28" s="125">
        <v>1</v>
      </c>
      <c r="AJ28" s="125">
        <v>2</v>
      </c>
      <c r="AK28" s="125">
        <v>0</v>
      </c>
      <c r="AL28" s="125">
        <v>0</v>
      </c>
      <c r="AM28" s="88">
        <v>0.174583396503532</v>
      </c>
      <c r="AN28" s="88">
        <v>17.763186628883901</v>
      </c>
      <c r="AO28" s="88">
        <v>3.3384371215600899</v>
      </c>
      <c r="AP28" s="88">
        <v>54.140127388534999</v>
      </c>
      <c r="AQ28" s="88">
        <v>0</v>
      </c>
      <c r="AR28" s="88">
        <v>0</v>
      </c>
      <c r="AS28" s="88">
        <v>3</v>
      </c>
      <c r="AT28" s="88">
        <v>4</v>
      </c>
      <c r="AU28" s="88">
        <v>1</v>
      </c>
      <c r="AV28" s="88">
        <v>1</v>
      </c>
      <c r="AW28" s="88">
        <v>0</v>
      </c>
      <c r="AX28" s="88">
        <v>0</v>
      </c>
      <c r="AY28" s="88">
        <v>0</v>
      </c>
      <c r="AZ28" s="88">
        <v>1</v>
      </c>
      <c r="BA28" s="88">
        <v>0</v>
      </c>
      <c r="BC28" s="88">
        <v>463</v>
      </c>
      <c r="BD28" s="88">
        <v>8</v>
      </c>
      <c r="BE28" s="88">
        <v>6</v>
      </c>
      <c r="BF28" s="88">
        <v>0</v>
      </c>
      <c r="BG28" s="88">
        <v>10</v>
      </c>
      <c r="BH28" s="111">
        <v>4.9475519309690501</v>
      </c>
      <c r="BI28" s="113">
        <v>3</v>
      </c>
      <c r="BJ28" s="113">
        <v>3</v>
      </c>
      <c r="BK28" s="113">
        <v>3</v>
      </c>
      <c r="BL28" s="88" t="s">
        <v>68</v>
      </c>
      <c r="BM28" s="88">
        <v>2</v>
      </c>
      <c r="BN28" s="88">
        <v>17</v>
      </c>
      <c r="BO28" s="88">
        <v>12.289466065475199</v>
      </c>
      <c r="BP28" s="88">
        <v>16.110524683033798</v>
      </c>
      <c r="BQ28" s="88">
        <v>57.689802417312002</v>
      </c>
      <c r="BR28" s="88">
        <v>51.653759861040797</v>
      </c>
      <c r="BS28" s="88">
        <v>24</v>
      </c>
      <c r="BT28" s="88">
        <v>45.328218860823597</v>
      </c>
      <c r="BU28" s="88">
        <v>57.017403800095799</v>
      </c>
      <c r="BV28" s="88">
        <v>58.247286205983599</v>
      </c>
      <c r="BW28" s="88">
        <v>4.6843221075208996</v>
      </c>
      <c r="BX28" s="88">
        <f>600-463</f>
        <v>137</v>
      </c>
      <c r="BY28" s="88">
        <v>600</v>
      </c>
      <c r="BZ28" s="88"/>
      <c r="CA28" s="88"/>
      <c r="CB28" s="88">
        <v>0</v>
      </c>
      <c r="CC28" s="88">
        <v>0</v>
      </c>
      <c r="CD28" s="88"/>
      <c r="CE28" s="88"/>
      <c r="CF28" s="88">
        <v>32.867783985102399</v>
      </c>
      <c r="CG28" s="88">
        <v>60.800744878957197</v>
      </c>
      <c r="CH28" s="88">
        <v>4</v>
      </c>
      <c r="CI28" s="88">
        <v>64.059590316573605</v>
      </c>
      <c r="CJ28" s="88">
        <v>36.337209302325597</v>
      </c>
      <c r="CK28" s="88">
        <v>26.683937823834199</v>
      </c>
      <c r="CL28" s="88" t="s">
        <v>335</v>
      </c>
      <c r="CM28" s="88" t="s">
        <v>336</v>
      </c>
      <c r="CN28" s="88" t="s">
        <v>337</v>
      </c>
      <c r="CO28" s="88" t="s">
        <v>338</v>
      </c>
      <c r="CP28" s="88"/>
    </row>
    <row r="29" spans="1:94" s="62" customFormat="1">
      <c r="A29" s="132" t="s">
        <v>69</v>
      </c>
      <c r="B29" s="123" t="s">
        <v>17</v>
      </c>
      <c r="C29" s="115" t="s">
        <v>70</v>
      </c>
      <c r="D29" s="123">
        <f>F29-E29</f>
        <v>66</v>
      </c>
      <c r="E29" s="133">
        <v>43675</v>
      </c>
      <c r="F29" s="133">
        <v>43741</v>
      </c>
      <c r="G29" s="133"/>
      <c r="H29" s="62">
        <v>1</v>
      </c>
      <c r="I29" s="115">
        <v>4</v>
      </c>
      <c r="J29" s="116">
        <v>0</v>
      </c>
      <c r="K29" s="116">
        <v>0</v>
      </c>
      <c r="L29" s="116">
        <v>0</v>
      </c>
      <c r="M29" s="116">
        <v>0</v>
      </c>
      <c r="N29" s="88">
        <v>9.5523059775991701</v>
      </c>
      <c r="O29" s="116">
        <v>0</v>
      </c>
      <c r="P29" s="116">
        <v>2</v>
      </c>
      <c r="Q29" s="116">
        <v>0</v>
      </c>
      <c r="R29" s="116"/>
      <c r="S29" s="88">
        <v>4</v>
      </c>
      <c r="T29" s="115">
        <v>0</v>
      </c>
      <c r="U29" s="88">
        <v>10.469719713681901</v>
      </c>
      <c r="V29" s="88">
        <v>0.38488293852918698</v>
      </c>
      <c r="W29" s="88">
        <v>24.5762711864407</v>
      </c>
      <c r="X29" s="88">
        <v>54.237288135593197</v>
      </c>
      <c r="Y29" s="88">
        <v>0</v>
      </c>
      <c r="Z29" s="88">
        <v>43.220338983050802</v>
      </c>
      <c r="AA29" s="88">
        <v>5.8823529411764701</v>
      </c>
      <c r="AB29" s="88">
        <v>38.805970149253703</v>
      </c>
      <c r="AC29" s="88">
        <v>6.2453030870342596</v>
      </c>
      <c r="AD29" s="116">
        <v>16</v>
      </c>
      <c r="AE29" s="116">
        <v>38</v>
      </c>
      <c r="AF29" s="116">
        <v>0</v>
      </c>
      <c r="AG29" s="116">
        <v>2</v>
      </c>
      <c r="AH29" s="116">
        <v>4</v>
      </c>
      <c r="AI29" s="116">
        <v>2</v>
      </c>
      <c r="AJ29" s="116">
        <v>3</v>
      </c>
      <c r="AK29" s="116">
        <v>3</v>
      </c>
      <c r="AL29" s="116">
        <v>1</v>
      </c>
      <c r="AM29" s="88">
        <v>1.0950773505851601</v>
      </c>
      <c r="AN29" s="88">
        <v>40.879590289097699</v>
      </c>
      <c r="AO29" s="88">
        <v>6.7510477151577097</v>
      </c>
      <c r="AP29" s="88">
        <v>42.213114754098399</v>
      </c>
      <c r="AQ29" s="115">
        <v>0</v>
      </c>
      <c r="AR29" s="115">
        <v>0</v>
      </c>
      <c r="AS29" s="115">
        <v>7</v>
      </c>
      <c r="AT29" s="88">
        <v>0</v>
      </c>
      <c r="AU29" s="115">
        <v>1</v>
      </c>
      <c r="AV29" s="88">
        <v>4</v>
      </c>
      <c r="AW29" s="88">
        <v>1</v>
      </c>
      <c r="AX29" s="88">
        <v>0</v>
      </c>
      <c r="AY29" s="88">
        <v>2</v>
      </c>
      <c r="AZ29" s="88">
        <v>1</v>
      </c>
      <c r="BA29" s="88">
        <v>0</v>
      </c>
      <c r="BC29" s="88">
        <v>88</v>
      </c>
      <c r="BD29" s="115">
        <v>3</v>
      </c>
      <c r="BE29" s="115">
        <v>1</v>
      </c>
      <c r="BF29" s="115">
        <v>1</v>
      </c>
      <c r="BG29" s="115">
        <v>0</v>
      </c>
      <c r="BH29" s="111">
        <v>7.1892336963772498</v>
      </c>
      <c r="BI29" s="113">
        <v>3</v>
      </c>
      <c r="BJ29" s="113">
        <v>3</v>
      </c>
      <c r="BK29" s="113">
        <v>2</v>
      </c>
      <c r="BL29" s="88" t="s">
        <v>71</v>
      </c>
      <c r="BM29" s="115">
        <v>5</v>
      </c>
      <c r="BN29" s="115">
        <v>2</v>
      </c>
      <c r="BO29" s="114">
        <v>13.086764131715</v>
      </c>
      <c r="BP29" s="114">
        <v>3.9752165747164598</v>
      </c>
      <c r="BQ29" s="114">
        <v>50.1711677443895</v>
      </c>
      <c r="BR29" s="114">
        <v>89.045264359071894</v>
      </c>
      <c r="BS29" s="111">
        <v>3</v>
      </c>
      <c r="BT29" s="114">
        <v>19.4750855838722</v>
      </c>
      <c r="BU29" s="114">
        <v>29.1015625</v>
      </c>
      <c r="BV29" s="114">
        <v>55.266887104393</v>
      </c>
      <c r="BW29" s="88">
        <v>8.1638149351301994</v>
      </c>
      <c r="BX29" s="88">
        <v>25</v>
      </c>
      <c r="BY29" s="88">
        <f>2*60+10</f>
        <v>130</v>
      </c>
      <c r="BZ29" s="88">
        <v>2</v>
      </c>
      <c r="CA29" s="88">
        <v>15</v>
      </c>
      <c r="CB29" s="88">
        <v>3</v>
      </c>
      <c r="CC29" s="88">
        <v>1</v>
      </c>
      <c r="CD29" s="88">
        <v>0</v>
      </c>
      <c r="CE29" s="88">
        <v>0</v>
      </c>
      <c r="CF29" s="88">
        <v>36.762225969645897</v>
      </c>
      <c r="CG29" s="88">
        <v>84.822934232714999</v>
      </c>
      <c r="CH29" s="88">
        <v>2</v>
      </c>
      <c r="CI29" s="88">
        <v>24.030354131534601</v>
      </c>
      <c r="CJ29" s="88">
        <v>21.403508771929801</v>
      </c>
      <c r="CK29" s="88">
        <v>41.620421753607097</v>
      </c>
      <c r="CL29" s="88" t="s">
        <v>339</v>
      </c>
      <c r="CM29" s="88" t="s">
        <v>340</v>
      </c>
      <c r="CN29" s="88" t="s">
        <v>341</v>
      </c>
      <c r="CO29" s="88" t="s">
        <v>342</v>
      </c>
      <c r="CP29" s="88"/>
    </row>
    <row r="30" spans="1:94" s="62" customFormat="1">
      <c r="A30" s="108" t="s">
        <v>72</v>
      </c>
      <c r="B30" s="123" t="s">
        <v>17</v>
      </c>
      <c r="C30" s="115" t="s">
        <v>70</v>
      </c>
      <c r="D30" s="123">
        <f>F30-E30</f>
        <v>67</v>
      </c>
      <c r="E30" s="133">
        <v>43675</v>
      </c>
      <c r="F30" s="133">
        <v>43742</v>
      </c>
      <c r="G30" s="133"/>
      <c r="H30" s="62">
        <v>1</v>
      </c>
      <c r="I30" s="115">
        <v>15</v>
      </c>
      <c r="J30" s="116">
        <v>1</v>
      </c>
      <c r="K30" s="116">
        <v>1</v>
      </c>
      <c r="L30" s="116">
        <v>0</v>
      </c>
      <c r="M30" s="116">
        <v>0</v>
      </c>
      <c r="N30" s="88">
        <v>5.3231919070795497</v>
      </c>
      <c r="O30" s="116">
        <v>3</v>
      </c>
      <c r="P30" s="116">
        <v>3</v>
      </c>
      <c r="Q30" s="116">
        <v>1</v>
      </c>
      <c r="R30" s="116"/>
      <c r="S30" s="88">
        <v>1</v>
      </c>
      <c r="T30" s="115">
        <v>2</v>
      </c>
      <c r="U30" s="88">
        <v>15.5832352108304</v>
      </c>
      <c r="V30" s="88">
        <v>1.4814425656428201</v>
      </c>
      <c r="W30" s="88">
        <v>17.586912065439702</v>
      </c>
      <c r="X30" s="88">
        <v>89.161554192229005</v>
      </c>
      <c r="Y30" s="88">
        <v>2</v>
      </c>
      <c r="Z30" s="88">
        <v>40.286298568507199</v>
      </c>
      <c r="AA30" s="88">
        <v>19.2893401015228</v>
      </c>
      <c r="AB30" s="88">
        <v>12.9707112970711</v>
      </c>
      <c r="AC30" s="88">
        <v>1.6757843742732601</v>
      </c>
      <c r="AD30" s="116">
        <v>27</v>
      </c>
      <c r="AE30" s="116">
        <v>60</v>
      </c>
      <c r="AF30" s="116">
        <v>1</v>
      </c>
      <c r="AG30" s="116">
        <v>2</v>
      </c>
      <c r="AH30" s="116">
        <v>9</v>
      </c>
      <c r="AI30" s="116">
        <v>2</v>
      </c>
      <c r="AJ30" s="116">
        <v>1</v>
      </c>
      <c r="AK30" s="116">
        <v>4.5</v>
      </c>
      <c r="AL30" s="116">
        <v>4</v>
      </c>
      <c r="AM30" s="88">
        <v>1.25095801642091</v>
      </c>
      <c r="AN30" s="88">
        <v>36.031234655668101</v>
      </c>
      <c r="AO30" s="88">
        <v>5.0583816864038003</v>
      </c>
      <c r="AP30" s="88">
        <v>55.107526881720403</v>
      </c>
      <c r="AQ30" s="115">
        <v>1</v>
      </c>
      <c r="AR30" s="115">
        <v>1</v>
      </c>
      <c r="AS30" s="115">
        <v>4</v>
      </c>
      <c r="AT30" s="115">
        <v>0</v>
      </c>
      <c r="AU30" s="115">
        <v>1</v>
      </c>
      <c r="AV30" s="88">
        <v>4</v>
      </c>
      <c r="AW30" s="88">
        <v>1</v>
      </c>
      <c r="AX30" s="88">
        <v>0</v>
      </c>
      <c r="AY30" s="88">
        <v>1</v>
      </c>
      <c r="AZ30" s="88">
        <v>1</v>
      </c>
      <c r="BA30" s="88">
        <v>1</v>
      </c>
      <c r="BC30" s="88">
        <f>3*60+50</f>
        <v>230</v>
      </c>
      <c r="BD30" s="115">
        <v>10</v>
      </c>
      <c r="BE30" s="134">
        <v>7</v>
      </c>
      <c r="BF30" s="134">
        <v>2</v>
      </c>
      <c r="BG30" s="134">
        <v>4</v>
      </c>
      <c r="BH30" s="111">
        <v>3.2067072307804301</v>
      </c>
      <c r="BI30" s="113">
        <v>3</v>
      </c>
      <c r="BJ30" s="113">
        <v>3</v>
      </c>
      <c r="BK30" s="113">
        <v>0</v>
      </c>
      <c r="BL30" s="88" t="s">
        <v>73</v>
      </c>
      <c r="BM30" s="134">
        <v>2</v>
      </c>
      <c r="BN30" s="115">
        <v>14</v>
      </c>
      <c r="BO30" s="114">
        <v>24.1954986684392</v>
      </c>
      <c r="BP30" s="114">
        <v>9.5161869613505594</v>
      </c>
      <c r="BQ30" s="114">
        <v>53.798858146684204</v>
      </c>
      <c r="BR30" s="114">
        <v>55.5555555555556</v>
      </c>
      <c r="BS30" s="111">
        <v>20</v>
      </c>
      <c r="BT30" s="114">
        <v>54.1355584833846</v>
      </c>
      <c r="BU30" s="114">
        <v>56.652244456463002</v>
      </c>
      <c r="BV30" s="114">
        <v>50.430896903925998</v>
      </c>
      <c r="BW30" s="88">
        <v>1.95804721401584</v>
      </c>
      <c r="BX30" s="88">
        <v>0.5</v>
      </c>
      <c r="BY30" s="88">
        <v>353</v>
      </c>
      <c r="BZ30" s="88">
        <v>0</v>
      </c>
      <c r="CA30" s="88">
        <v>0</v>
      </c>
      <c r="CB30" s="88">
        <v>1</v>
      </c>
      <c r="CC30" s="88">
        <v>1</v>
      </c>
      <c r="CD30" s="88">
        <v>0</v>
      </c>
      <c r="CE30" s="88">
        <v>0</v>
      </c>
      <c r="CF30" s="88">
        <v>40.900735294117602</v>
      </c>
      <c r="CG30" s="88">
        <v>88.878676470588204</v>
      </c>
      <c r="CH30" s="88">
        <v>2</v>
      </c>
      <c r="CI30" s="88">
        <v>26.470588235294102</v>
      </c>
      <c r="CJ30" s="88">
        <v>24.6527777777778</v>
      </c>
      <c r="CK30" s="88">
        <v>46.75</v>
      </c>
      <c r="CL30" s="88" t="s">
        <v>343</v>
      </c>
      <c r="CM30" s="88" t="s">
        <v>344</v>
      </c>
      <c r="CN30" s="88" t="s">
        <v>345</v>
      </c>
      <c r="CO30" s="88" t="s">
        <v>346</v>
      </c>
      <c r="CP30" s="88"/>
    </row>
    <row r="31" spans="1:94" s="62" customFormat="1">
      <c r="A31" s="108" t="s">
        <v>74</v>
      </c>
      <c r="B31" s="123" t="s">
        <v>41</v>
      </c>
      <c r="C31" s="115" t="s">
        <v>70</v>
      </c>
      <c r="D31" s="123">
        <v>67</v>
      </c>
      <c r="E31" s="133">
        <v>43703</v>
      </c>
      <c r="F31" s="133">
        <v>43770</v>
      </c>
      <c r="G31" s="133"/>
      <c r="H31" s="62">
        <v>1</v>
      </c>
      <c r="I31" s="115">
        <v>16</v>
      </c>
      <c r="J31" s="116">
        <v>1</v>
      </c>
      <c r="K31" s="116">
        <v>0</v>
      </c>
      <c r="L31" s="116">
        <v>0</v>
      </c>
      <c r="M31" s="116">
        <v>0</v>
      </c>
      <c r="N31" s="88">
        <v>7.5826101073964898</v>
      </c>
      <c r="O31" s="116">
        <v>0</v>
      </c>
      <c r="P31" s="116">
        <v>1</v>
      </c>
      <c r="Q31" s="116">
        <v>0</v>
      </c>
      <c r="R31" s="116"/>
      <c r="S31" s="88">
        <v>2</v>
      </c>
      <c r="T31" s="115">
        <v>1</v>
      </c>
      <c r="U31" s="88">
        <v>7.2832669930234104</v>
      </c>
      <c r="V31" s="88">
        <v>1.4636661160075299</v>
      </c>
      <c r="W31" s="88">
        <v>19.5833333333333</v>
      </c>
      <c r="X31" s="88">
        <v>93.3333333333333</v>
      </c>
      <c r="Y31" s="88">
        <v>0</v>
      </c>
      <c r="Z31" s="88">
        <v>58.3333333333333</v>
      </c>
      <c r="AA31" s="88">
        <v>28.571428571428601</v>
      </c>
      <c r="AB31" s="88">
        <v>7</v>
      </c>
      <c r="AC31" s="88">
        <v>4.0077744580049703</v>
      </c>
      <c r="AD31" s="116">
        <v>21</v>
      </c>
      <c r="AE31" s="116">
        <v>58</v>
      </c>
      <c r="AF31" s="116">
        <v>1.5</v>
      </c>
      <c r="AG31" s="116">
        <v>3</v>
      </c>
      <c r="AH31" s="116">
        <v>15</v>
      </c>
      <c r="AI31" s="116">
        <v>2</v>
      </c>
      <c r="AJ31" s="116">
        <v>1</v>
      </c>
      <c r="AK31" s="116">
        <v>0</v>
      </c>
      <c r="AL31" s="116">
        <v>0</v>
      </c>
      <c r="AM31" s="88">
        <v>0.44888881090979699</v>
      </c>
      <c r="AN31" s="88">
        <v>30.2427730641907</v>
      </c>
      <c r="AO31" s="88">
        <v>2.12562122450074</v>
      </c>
      <c r="AP31" s="88">
        <v>78.391167192428995</v>
      </c>
      <c r="AQ31" s="115">
        <v>0</v>
      </c>
      <c r="AR31" s="115">
        <v>0</v>
      </c>
      <c r="AS31" s="115">
        <v>6</v>
      </c>
      <c r="AT31" s="115">
        <v>2</v>
      </c>
      <c r="AU31" s="115">
        <v>2</v>
      </c>
      <c r="AV31" s="88">
        <v>2</v>
      </c>
      <c r="AW31" s="88">
        <v>1</v>
      </c>
      <c r="AX31" s="88">
        <v>0</v>
      </c>
      <c r="AY31" s="88">
        <v>0</v>
      </c>
      <c r="AZ31" s="88">
        <v>0</v>
      </c>
      <c r="BA31" s="88">
        <v>1</v>
      </c>
      <c r="BC31" s="88">
        <v>20</v>
      </c>
      <c r="BD31" s="115">
        <v>2</v>
      </c>
      <c r="BE31" s="115">
        <v>1</v>
      </c>
      <c r="BF31" s="115">
        <v>0</v>
      </c>
      <c r="BG31" s="115">
        <v>0</v>
      </c>
      <c r="BH31" s="111">
        <v>12.6894886138465</v>
      </c>
      <c r="BI31" s="113">
        <v>0</v>
      </c>
      <c r="BJ31" s="113">
        <v>1</v>
      </c>
      <c r="BK31" s="113">
        <v>1</v>
      </c>
      <c r="BL31" s="88" t="s">
        <v>75</v>
      </c>
      <c r="BM31" s="115">
        <v>4</v>
      </c>
      <c r="BN31" s="115">
        <v>2</v>
      </c>
      <c r="BO31" s="114">
        <v>5.9479638087179696</v>
      </c>
      <c r="BP31" s="114">
        <v>1.5679906799169301</v>
      </c>
      <c r="BQ31" s="114">
        <v>25.380710659898501</v>
      </c>
      <c r="BR31" s="114">
        <v>99.153976311336706</v>
      </c>
      <c r="BS31" s="111">
        <v>0</v>
      </c>
      <c r="BT31" s="114">
        <v>48.730964467005101</v>
      </c>
      <c r="BU31" s="114">
        <v>24.6527777777778</v>
      </c>
      <c r="BV31" s="114">
        <v>26.072607260726102</v>
      </c>
      <c r="BW31" s="88">
        <v>4.3147558068419096</v>
      </c>
      <c r="BX31" s="88">
        <v>2</v>
      </c>
      <c r="BY31" s="88">
        <v>45</v>
      </c>
      <c r="BZ31" s="88">
        <v>0</v>
      </c>
      <c r="CA31" s="88">
        <v>2</v>
      </c>
      <c r="CB31" s="88">
        <v>2</v>
      </c>
      <c r="CC31" s="88">
        <v>2</v>
      </c>
      <c r="CD31" s="88">
        <v>0</v>
      </c>
      <c r="CE31" s="88">
        <v>0</v>
      </c>
      <c r="CF31" s="88" t="s">
        <v>25</v>
      </c>
      <c r="CG31" s="88" t="s">
        <v>25</v>
      </c>
      <c r="CH31" s="88" t="s">
        <v>25</v>
      </c>
      <c r="CI31" s="88" t="s">
        <v>25</v>
      </c>
      <c r="CJ31" s="88" t="s">
        <v>25</v>
      </c>
      <c r="CK31" s="88" t="s">
        <v>25</v>
      </c>
      <c r="CL31" s="88" t="s">
        <v>25</v>
      </c>
      <c r="CM31" s="88" t="s">
        <v>25</v>
      </c>
      <c r="CN31" s="88" t="s">
        <v>25</v>
      </c>
      <c r="CO31" s="88" t="s">
        <v>25</v>
      </c>
      <c r="CP31" s="88"/>
    </row>
    <row r="32" spans="1:94" s="62" customFormat="1">
      <c r="A32" s="132" t="s">
        <v>76</v>
      </c>
      <c r="B32" s="123" t="s">
        <v>17</v>
      </c>
      <c r="C32" s="115" t="s">
        <v>77</v>
      </c>
      <c r="D32" s="123">
        <v>64</v>
      </c>
      <c r="E32" s="133">
        <v>43749</v>
      </c>
      <c r="F32" s="133">
        <v>43813</v>
      </c>
      <c r="G32" s="133"/>
      <c r="H32" s="62">
        <v>1</v>
      </c>
      <c r="I32" s="115">
        <v>5</v>
      </c>
      <c r="J32" s="116">
        <v>0</v>
      </c>
      <c r="K32" s="116">
        <v>0</v>
      </c>
      <c r="L32" s="116">
        <v>0</v>
      </c>
      <c r="M32" s="116">
        <v>0</v>
      </c>
      <c r="N32" s="88">
        <v>3.0938497571811099</v>
      </c>
      <c r="O32" s="116">
        <v>0</v>
      </c>
      <c r="P32" s="116">
        <v>1</v>
      </c>
      <c r="Q32" s="116">
        <v>1</v>
      </c>
      <c r="R32" s="116"/>
      <c r="S32" s="88">
        <v>5</v>
      </c>
      <c r="T32" s="115">
        <v>0</v>
      </c>
      <c r="U32" s="88">
        <v>5.4940916235019701</v>
      </c>
      <c r="V32" s="88">
        <v>0.14935999099177799</v>
      </c>
      <c r="W32" s="88">
        <v>34.482758620689701</v>
      </c>
      <c r="X32" s="88">
        <v>59.482758620689701</v>
      </c>
      <c r="Y32" s="88">
        <v>0</v>
      </c>
      <c r="Z32" s="88">
        <v>98.275862068965495</v>
      </c>
      <c r="AA32" s="88">
        <v>35.087719298245602</v>
      </c>
      <c r="AB32" s="88">
        <v>0</v>
      </c>
      <c r="AC32" s="88">
        <v>4.2879637230783398</v>
      </c>
      <c r="AD32" s="116">
        <v>5</v>
      </c>
      <c r="AE32" s="116">
        <v>20</v>
      </c>
      <c r="AF32" s="116">
        <v>0</v>
      </c>
      <c r="AG32" s="116">
        <v>2</v>
      </c>
      <c r="AH32" s="116">
        <v>4</v>
      </c>
      <c r="AI32" s="116">
        <v>3</v>
      </c>
      <c r="AJ32" s="116">
        <v>2</v>
      </c>
      <c r="AK32" s="116">
        <v>0</v>
      </c>
      <c r="AL32" s="116">
        <v>0</v>
      </c>
      <c r="AM32" s="88">
        <v>0.27902180291615403</v>
      </c>
      <c r="AN32" s="88">
        <v>15.298815738393101</v>
      </c>
      <c r="AO32" s="88">
        <v>4.5129754796220798</v>
      </c>
      <c r="AP32" s="88">
        <v>37.634408602150501</v>
      </c>
      <c r="AQ32" s="115">
        <v>0</v>
      </c>
      <c r="AR32" s="115">
        <v>0</v>
      </c>
      <c r="AS32" s="115">
        <v>1</v>
      </c>
      <c r="AT32" s="115">
        <v>6</v>
      </c>
      <c r="AU32" s="115">
        <v>1</v>
      </c>
      <c r="AV32" s="88">
        <v>3</v>
      </c>
      <c r="AW32" s="88">
        <v>0</v>
      </c>
      <c r="AX32" s="88">
        <v>0</v>
      </c>
      <c r="AY32" s="88">
        <v>2</v>
      </c>
      <c r="AZ32" s="88">
        <v>1</v>
      </c>
      <c r="BA32" s="88">
        <v>0</v>
      </c>
      <c r="BC32" s="88">
        <v>33</v>
      </c>
      <c r="BD32" s="115">
        <v>3</v>
      </c>
      <c r="BE32" s="115">
        <v>3</v>
      </c>
      <c r="BF32" s="115">
        <v>2</v>
      </c>
      <c r="BG32" s="115">
        <v>1</v>
      </c>
      <c r="BH32" s="111">
        <v>7.3157092430077801</v>
      </c>
      <c r="BI32" s="113">
        <v>3</v>
      </c>
      <c r="BJ32" s="113">
        <v>3</v>
      </c>
      <c r="BK32" s="113">
        <v>1</v>
      </c>
      <c r="BL32" s="88" t="s">
        <v>78</v>
      </c>
      <c r="BM32" s="115">
        <v>2</v>
      </c>
      <c r="BN32" s="115">
        <v>5</v>
      </c>
      <c r="BO32" s="114">
        <v>17.6315297760185</v>
      </c>
      <c r="BP32" s="114">
        <v>2.7468986164237501</v>
      </c>
      <c r="BQ32" s="114">
        <v>33.799784714746998</v>
      </c>
      <c r="BR32" s="114">
        <v>98.170075349838498</v>
      </c>
      <c r="BS32" s="111">
        <v>1</v>
      </c>
      <c r="BT32" s="114">
        <v>57.1582346609257</v>
      </c>
      <c r="BU32" s="114">
        <v>39.548022598870098</v>
      </c>
      <c r="BV32" s="114">
        <v>26.130653266331699</v>
      </c>
      <c r="BW32" s="88">
        <v>7.30219529579868</v>
      </c>
      <c r="BX32" s="88">
        <v>7</v>
      </c>
      <c r="BY32" s="88">
        <v>47</v>
      </c>
      <c r="BZ32" s="88">
        <v>0.5</v>
      </c>
      <c r="CA32" s="88">
        <v>3</v>
      </c>
      <c r="CB32" s="88">
        <v>2</v>
      </c>
      <c r="CC32" s="88">
        <v>2</v>
      </c>
      <c r="CD32" s="88">
        <v>0</v>
      </c>
      <c r="CE32" s="88">
        <v>0</v>
      </c>
      <c r="CF32" s="88">
        <v>35.714285714285701</v>
      </c>
      <c r="CG32" s="88">
        <v>98.009367681498802</v>
      </c>
      <c r="CH32" s="88">
        <v>1</v>
      </c>
      <c r="CI32" s="88">
        <v>53.395784543325497</v>
      </c>
      <c r="CJ32" s="88">
        <v>44.078947368421098</v>
      </c>
      <c r="CK32" s="88">
        <v>26.130653266331699</v>
      </c>
      <c r="CL32" s="88" t="s">
        <v>347</v>
      </c>
      <c r="CM32" s="88" t="s">
        <v>348</v>
      </c>
      <c r="CN32" s="88" t="s">
        <v>349</v>
      </c>
      <c r="CO32" s="88" t="s">
        <v>350</v>
      </c>
      <c r="CP32" s="88"/>
    </row>
    <row r="33" spans="1:94" s="62" customFormat="1">
      <c r="A33" s="132" t="s">
        <v>79</v>
      </c>
      <c r="B33" s="123" t="s">
        <v>41</v>
      </c>
      <c r="C33" s="115" t="s">
        <v>77</v>
      </c>
      <c r="D33" s="123">
        <v>68</v>
      </c>
      <c r="E33" s="133">
        <v>43749</v>
      </c>
      <c r="F33" s="133">
        <v>43817</v>
      </c>
      <c r="G33" s="133"/>
      <c r="H33" s="62">
        <v>1</v>
      </c>
      <c r="I33" s="115">
        <v>7</v>
      </c>
      <c r="J33" s="116">
        <v>0</v>
      </c>
      <c r="K33" s="116">
        <v>0</v>
      </c>
      <c r="L33" s="116">
        <v>0</v>
      </c>
      <c r="M33" s="116">
        <v>0</v>
      </c>
      <c r="N33" s="88">
        <v>2.2733833423815999</v>
      </c>
      <c r="O33" s="116">
        <v>0</v>
      </c>
      <c r="P33" s="116">
        <v>1</v>
      </c>
      <c r="Q33" s="116">
        <v>1</v>
      </c>
      <c r="R33" s="116"/>
      <c r="S33" s="88">
        <v>3</v>
      </c>
      <c r="T33" s="115">
        <v>0</v>
      </c>
      <c r="U33" s="88">
        <v>2.8627821908440598</v>
      </c>
      <c r="V33" s="88">
        <v>9.4474419871013807E-2</v>
      </c>
      <c r="W33" s="88">
        <v>38.461538461538503</v>
      </c>
      <c r="X33" s="88">
        <v>25</v>
      </c>
      <c r="Y33" s="88">
        <v>0</v>
      </c>
      <c r="Z33" s="88">
        <v>100</v>
      </c>
      <c r="AA33" s="88">
        <v>38.461538461538503</v>
      </c>
      <c r="AB33" s="88" t="s">
        <v>25</v>
      </c>
      <c r="AC33" s="88">
        <v>3.9291917917760699</v>
      </c>
      <c r="AD33" s="116">
        <v>16</v>
      </c>
      <c r="AE33" s="116">
        <v>38</v>
      </c>
      <c r="AF33" s="116">
        <v>1</v>
      </c>
      <c r="AG33" s="116">
        <v>3</v>
      </c>
      <c r="AH33" s="116">
        <v>6</v>
      </c>
      <c r="AI33" s="116">
        <v>2</v>
      </c>
      <c r="AJ33" s="116">
        <v>1</v>
      </c>
      <c r="AK33" s="116">
        <v>0</v>
      </c>
      <c r="AL33" s="116">
        <v>0</v>
      </c>
      <c r="AM33" s="88">
        <v>0.71224283139054601</v>
      </c>
      <c r="AN33" s="88">
        <v>24.568649557404701</v>
      </c>
      <c r="AO33" s="88">
        <v>4.0353261317574098</v>
      </c>
      <c r="AP33" s="88">
        <v>55.367231638418097</v>
      </c>
      <c r="AQ33" s="115">
        <v>0</v>
      </c>
      <c r="AR33" s="115">
        <v>0</v>
      </c>
      <c r="AS33" s="115">
        <v>2</v>
      </c>
      <c r="AT33" s="115">
        <v>0</v>
      </c>
      <c r="AU33" s="115">
        <v>1</v>
      </c>
      <c r="AV33" s="88">
        <v>5</v>
      </c>
      <c r="AW33" s="88">
        <v>1</v>
      </c>
      <c r="AX33" s="88">
        <v>1</v>
      </c>
      <c r="AY33" s="88">
        <v>1</v>
      </c>
      <c r="AZ33" s="88">
        <v>2</v>
      </c>
      <c r="BA33" s="88">
        <v>0</v>
      </c>
      <c r="BC33" s="63">
        <v>1</v>
      </c>
      <c r="BD33" s="115">
        <v>0</v>
      </c>
      <c r="BE33" s="115">
        <v>0</v>
      </c>
      <c r="BF33" s="115">
        <v>0</v>
      </c>
      <c r="BG33" s="115">
        <v>0</v>
      </c>
      <c r="BH33" s="111">
        <v>14.927932886839301</v>
      </c>
      <c r="BI33" s="113">
        <v>0</v>
      </c>
      <c r="BJ33" s="113">
        <v>2</v>
      </c>
      <c r="BK33" s="113">
        <v>0</v>
      </c>
      <c r="BL33" s="88" t="s">
        <v>80</v>
      </c>
      <c r="BM33" s="115">
        <v>1</v>
      </c>
      <c r="BN33" s="115">
        <v>0</v>
      </c>
      <c r="BO33" s="114">
        <v>9.6589819798402896</v>
      </c>
      <c r="BP33" s="114">
        <v>0.10916775508809901</v>
      </c>
      <c r="BQ33" s="114">
        <v>7.4074074074074101</v>
      </c>
      <c r="BR33" s="114">
        <v>14.814814814814801</v>
      </c>
      <c r="BS33" s="111">
        <v>1</v>
      </c>
      <c r="BT33" s="114">
        <v>81.481481481481495</v>
      </c>
      <c r="BU33" s="114">
        <v>9.0909090909090899</v>
      </c>
      <c r="BV33" s="114">
        <v>0</v>
      </c>
      <c r="BW33" s="88">
        <v>5.8619583361233598</v>
      </c>
      <c r="BX33" s="88">
        <v>2</v>
      </c>
      <c r="BY33" s="88">
        <v>14</v>
      </c>
      <c r="BZ33" s="88">
        <v>1</v>
      </c>
      <c r="CA33" s="88">
        <v>1</v>
      </c>
      <c r="CB33" s="88">
        <v>1</v>
      </c>
      <c r="CC33" s="88">
        <v>2</v>
      </c>
      <c r="CD33" s="88">
        <v>0</v>
      </c>
      <c r="CE33" s="88">
        <v>0</v>
      </c>
      <c r="CF33" s="88" t="s">
        <v>25</v>
      </c>
      <c r="CG33" s="88" t="s">
        <v>25</v>
      </c>
      <c r="CH33" s="88" t="s">
        <v>25</v>
      </c>
      <c r="CI33" s="88" t="s">
        <v>25</v>
      </c>
      <c r="CJ33" s="88" t="s">
        <v>25</v>
      </c>
      <c r="CK33" s="88" t="s">
        <v>25</v>
      </c>
      <c r="CL33" s="88" t="s">
        <v>25</v>
      </c>
      <c r="CM33" s="88" t="s">
        <v>25</v>
      </c>
      <c r="CN33" s="88" t="s">
        <v>25</v>
      </c>
      <c r="CO33" s="88" t="s">
        <v>25</v>
      </c>
      <c r="CP33" s="88"/>
    </row>
    <row r="34" spans="1:94" s="62" customFormat="1">
      <c r="A34" s="108" t="s">
        <v>81</v>
      </c>
      <c r="B34" s="123" t="s">
        <v>41</v>
      </c>
      <c r="C34" s="115" t="s">
        <v>77</v>
      </c>
      <c r="D34" s="123">
        <v>71</v>
      </c>
      <c r="E34" s="133">
        <v>43749</v>
      </c>
      <c r="F34" s="133">
        <v>43820</v>
      </c>
      <c r="G34" s="133"/>
      <c r="H34" s="62">
        <v>1</v>
      </c>
      <c r="I34" s="115">
        <v>15</v>
      </c>
      <c r="J34" s="116">
        <v>2</v>
      </c>
      <c r="K34" s="116">
        <v>0</v>
      </c>
      <c r="L34" s="116">
        <v>0</v>
      </c>
      <c r="M34" s="116">
        <v>0</v>
      </c>
      <c r="N34" s="88">
        <v>6.9109745961411404</v>
      </c>
      <c r="O34" s="116">
        <v>0</v>
      </c>
      <c r="P34" s="116">
        <v>1</v>
      </c>
      <c r="Q34" s="116">
        <v>0</v>
      </c>
      <c r="R34" s="116"/>
      <c r="S34" s="88">
        <v>7</v>
      </c>
      <c r="T34" s="115">
        <v>2</v>
      </c>
      <c r="U34" s="88">
        <v>6.2450972809704401</v>
      </c>
      <c r="V34" s="88">
        <v>1.23770521544348</v>
      </c>
      <c r="W34" s="88">
        <v>23.6009732360097</v>
      </c>
      <c r="X34" s="88">
        <v>85.158150851581496</v>
      </c>
      <c r="Y34" s="88">
        <v>1</v>
      </c>
      <c r="Z34" s="88">
        <v>63.503649635036503</v>
      </c>
      <c r="AA34" s="88">
        <v>28.735632183907999</v>
      </c>
      <c r="AB34" s="88">
        <v>14.6666666666667</v>
      </c>
      <c r="AC34" s="88">
        <v>6.31725179446694</v>
      </c>
      <c r="AD34" s="116">
        <v>18</v>
      </c>
      <c r="AE34" s="116">
        <v>50</v>
      </c>
      <c r="AF34" s="116">
        <v>0</v>
      </c>
      <c r="AG34" s="116">
        <v>2</v>
      </c>
      <c r="AH34" s="116">
        <v>4.5</v>
      </c>
      <c r="AI34" s="116">
        <v>2</v>
      </c>
      <c r="AJ34" s="116">
        <v>1</v>
      </c>
      <c r="AK34" s="116">
        <v>0.5</v>
      </c>
      <c r="AL34" s="135">
        <v>5</v>
      </c>
      <c r="AM34" s="88">
        <v>1.27664518876018</v>
      </c>
      <c r="AN34" s="88">
        <v>29.601408542826</v>
      </c>
      <c r="AO34" s="88">
        <v>6.7496412438779503</v>
      </c>
      <c r="AP34" s="88">
        <v>24.956063268892802</v>
      </c>
      <c r="AQ34" s="115">
        <v>1</v>
      </c>
      <c r="AR34" s="115">
        <v>1</v>
      </c>
      <c r="AS34" s="115">
        <v>8</v>
      </c>
      <c r="AT34" s="115">
        <v>4</v>
      </c>
      <c r="AU34" s="115">
        <v>3</v>
      </c>
      <c r="AV34" s="88">
        <v>3</v>
      </c>
      <c r="AW34" s="88">
        <v>0</v>
      </c>
      <c r="AX34" s="88">
        <v>0</v>
      </c>
      <c r="AY34" s="88">
        <v>2</v>
      </c>
      <c r="AZ34" s="88">
        <v>1</v>
      </c>
      <c r="BA34" s="88">
        <v>0</v>
      </c>
      <c r="BC34" s="88">
        <v>32</v>
      </c>
      <c r="BD34" s="115">
        <v>4</v>
      </c>
      <c r="BE34" s="115">
        <v>4</v>
      </c>
      <c r="BF34" s="115">
        <v>2</v>
      </c>
      <c r="BG34" s="115">
        <v>1</v>
      </c>
      <c r="BH34" s="111">
        <v>5.8683581841495398</v>
      </c>
      <c r="BI34" s="113">
        <v>3</v>
      </c>
      <c r="BJ34" s="113">
        <v>2</v>
      </c>
      <c r="BK34" s="113">
        <v>0</v>
      </c>
      <c r="BL34" s="88" t="s">
        <v>82</v>
      </c>
      <c r="BM34" s="115">
        <v>3</v>
      </c>
      <c r="BN34" s="115">
        <v>5</v>
      </c>
      <c r="BO34" s="114">
        <v>10.0218251757204</v>
      </c>
      <c r="BP34" s="114">
        <v>2.8000650322013301</v>
      </c>
      <c r="BQ34" s="114">
        <v>23.362445414847201</v>
      </c>
      <c r="BR34" s="114">
        <v>85.043668122270702</v>
      </c>
      <c r="BS34" s="111">
        <v>1</v>
      </c>
      <c r="BT34" s="114">
        <v>52.510917030567697</v>
      </c>
      <c r="BU34" s="114">
        <v>26.819126819126801</v>
      </c>
      <c r="BV34" s="114">
        <v>19.540229885057499</v>
      </c>
      <c r="BW34" s="88">
        <v>7.7528560104519704</v>
      </c>
      <c r="BX34" s="88">
        <v>0.5</v>
      </c>
      <c r="BY34" s="88">
        <v>45</v>
      </c>
      <c r="BZ34" s="88">
        <v>0</v>
      </c>
      <c r="CA34" s="88">
        <v>0.5</v>
      </c>
      <c r="CB34" s="88">
        <v>2</v>
      </c>
      <c r="CC34" s="88">
        <v>2</v>
      </c>
      <c r="CD34" s="88">
        <v>0</v>
      </c>
      <c r="CE34" s="88">
        <v>0</v>
      </c>
      <c r="CF34" s="88">
        <v>23.6270753512133</v>
      </c>
      <c r="CG34" s="88">
        <v>82.503192848020404</v>
      </c>
      <c r="CH34" s="88">
        <v>1</v>
      </c>
      <c r="CI34" s="88">
        <v>46.360153256704997</v>
      </c>
      <c r="CJ34" s="88">
        <v>27.548209366391202</v>
      </c>
      <c r="CK34" s="88">
        <v>20.238095238095202</v>
      </c>
      <c r="CL34" s="88" t="s">
        <v>351</v>
      </c>
      <c r="CM34" s="88" t="s">
        <v>352</v>
      </c>
      <c r="CN34" s="88" t="s">
        <v>353</v>
      </c>
      <c r="CO34" s="88" t="s">
        <v>354</v>
      </c>
      <c r="CP34" s="88"/>
    </row>
    <row r="35" spans="1:94" s="62" customFormat="1">
      <c r="A35" s="108" t="s">
        <v>83</v>
      </c>
      <c r="B35" s="123" t="s">
        <v>41</v>
      </c>
      <c r="C35" s="115" t="s">
        <v>18</v>
      </c>
      <c r="D35" s="123">
        <f>F35-E35</f>
        <v>70</v>
      </c>
      <c r="E35" s="133">
        <v>44117</v>
      </c>
      <c r="F35" s="133">
        <v>44187</v>
      </c>
      <c r="G35" s="133"/>
      <c r="H35" s="62">
        <v>1</v>
      </c>
      <c r="I35" s="115">
        <v>22</v>
      </c>
      <c r="J35" s="116">
        <v>1</v>
      </c>
      <c r="K35" s="116">
        <v>1</v>
      </c>
      <c r="L35" s="116">
        <v>0</v>
      </c>
      <c r="M35" s="116">
        <v>0</v>
      </c>
      <c r="N35" s="88">
        <v>12.0485941428069</v>
      </c>
      <c r="O35" s="116">
        <v>0</v>
      </c>
      <c r="P35" s="116">
        <v>1</v>
      </c>
      <c r="Q35" s="116">
        <v>0</v>
      </c>
      <c r="R35" s="116"/>
      <c r="S35" s="88">
        <v>8</v>
      </c>
      <c r="T35" s="115">
        <v>1</v>
      </c>
      <c r="U35" s="88">
        <v>6.2511241709218996</v>
      </c>
      <c r="V35" s="88">
        <v>1.3344713399992101</v>
      </c>
      <c r="W35" s="88">
        <v>38.625204582651399</v>
      </c>
      <c r="X35" s="88">
        <v>97.217675941080202</v>
      </c>
      <c r="Y35" s="88">
        <v>0</v>
      </c>
      <c r="Z35" s="88">
        <v>36.824877250409202</v>
      </c>
      <c r="AA35" s="88">
        <v>40</v>
      </c>
      <c r="AB35" s="88">
        <v>37.823834196891198</v>
      </c>
      <c r="AC35" s="88">
        <v>8.1480419946148004</v>
      </c>
      <c r="AD35" s="116">
        <f>49-25</f>
        <v>24</v>
      </c>
      <c r="AE35" s="116">
        <v>70</v>
      </c>
      <c r="AF35" s="116">
        <v>1</v>
      </c>
      <c r="AG35" s="116">
        <v>3</v>
      </c>
      <c r="AH35" s="116">
        <v>5</v>
      </c>
      <c r="AI35" s="116">
        <v>1</v>
      </c>
      <c r="AJ35" s="116">
        <v>3</v>
      </c>
      <c r="AK35" s="116">
        <v>2</v>
      </c>
      <c r="AL35" s="116">
        <v>0</v>
      </c>
      <c r="AM35" s="88">
        <v>0.84504679098220203</v>
      </c>
      <c r="AN35" s="88">
        <v>29.7423831947184</v>
      </c>
      <c r="AO35" s="88">
        <v>3.4873834873503999</v>
      </c>
      <c r="AP35" s="88">
        <v>61.454046639231798</v>
      </c>
      <c r="AQ35" s="115">
        <v>0</v>
      </c>
      <c r="AR35" s="115">
        <v>0</v>
      </c>
      <c r="AS35" s="115">
        <v>1</v>
      </c>
      <c r="AT35" s="115">
        <v>6</v>
      </c>
      <c r="AU35" s="115">
        <v>1</v>
      </c>
      <c r="AV35" s="88">
        <v>3</v>
      </c>
      <c r="AW35" s="88">
        <v>0</v>
      </c>
      <c r="AX35" s="88">
        <v>0</v>
      </c>
      <c r="AY35" s="88">
        <v>1</v>
      </c>
      <c r="AZ35" s="88">
        <v>2</v>
      </c>
      <c r="BA35" s="88">
        <v>0</v>
      </c>
      <c r="BC35" s="88">
        <f>8*60+42</f>
        <v>522</v>
      </c>
      <c r="BD35" s="115">
        <v>9</v>
      </c>
      <c r="BE35" s="115">
        <v>9</v>
      </c>
      <c r="BF35" s="115">
        <v>1</v>
      </c>
      <c r="BG35" s="119">
        <v>2</v>
      </c>
      <c r="BH35" s="111">
        <v>5.6627426735651998</v>
      </c>
      <c r="BI35" s="113">
        <v>3</v>
      </c>
      <c r="BJ35" s="113">
        <v>3</v>
      </c>
      <c r="BK35" s="113">
        <v>1</v>
      </c>
      <c r="BL35" s="88" t="s">
        <v>84</v>
      </c>
      <c r="BM35" s="115">
        <v>13</v>
      </c>
      <c r="BN35" s="115">
        <v>11</v>
      </c>
      <c r="BO35" s="114">
        <v>1.9986475569490401</v>
      </c>
      <c r="BP35" s="114">
        <v>11.4049543817372</v>
      </c>
      <c r="BQ35" s="114">
        <v>70.948933171012996</v>
      </c>
      <c r="BR35" s="114">
        <v>76.862946113923201</v>
      </c>
      <c r="BS35" s="111">
        <v>17</v>
      </c>
      <c r="BT35" s="114">
        <v>48.221951688345001</v>
      </c>
      <c r="BU35" s="114">
        <v>77.637523252723895</v>
      </c>
      <c r="BV35" s="114">
        <v>64.719712906818501</v>
      </c>
      <c r="BW35" s="88">
        <v>9.5447675249083694</v>
      </c>
      <c r="BX35" s="88">
        <v>76</v>
      </c>
      <c r="BY35" s="88">
        <v>600</v>
      </c>
      <c r="BZ35" s="88">
        <v>0</v>
      </c>
      <c r="CA35" s="88">
        <v>55</v>
      </c>
      <c r="CB35" s="88">
        <v>3</v>
      </c>
      <c r="CC35" s="88">
        <v>3</v>
      </c>
      <c r="CD35" s="88">
        <v>2</v>
      </c>
      <c r="CE35" s="88">
        <v>0</v>
      </c>
      <c r="CF35" s="88">
        <v>82.656528069891607</v>
      </c>
      <c r="CG35" s="88">
        <v>96.133311761850806</v>
      </c>
      <c r="CH35" s="88">
        <v>2</v>
      </c>
      <c r="CI35" s="88">
        <v>87.493933020546805</v>
      </c>
      <c r="CJ35" s="88">
        <v>84.948224852070993</v>
      </c>
      <c r="CK35" s="88">
        <v>66.623544631306601</v>
      </c>
      <c r="CL35" s="88">
        <v>0</v>
      </c>
      <c r="CM35" s="88" t="s">
        <v>355</v>
      </c>
      <c r="CN35" s="88" t="s">
        <v>356</v>
      </c>
      <c r="CO35" s="88" t="s">
        <v>357</v>
      </c>
      <c r="CP35" s="88"/>
    </row>
    <row r="36" spans="1:94" s="62" customFormat="1">
      <c r="A36" s="108" t="s">
        <v>85</v>
      </c>
      <c r="B36" s="123" t="s">
        <v>17</v>
      </c>
      <c r="C36" s="115" t="s">
        <v>18</v>
      </c>
      <c r="D36" s="123">
        <f>F36-E36</f>
        <v>59</v>
      </c>
      <c r="E36" s="133">
        <v>44187</v>
      </c>
      <c r="F36" s="133">
        <v>44246</v>
      </c>
      <c r="G36" s="133"/>
      <c r="H36" s="62">
        <v>1</v>
      </c>
      <c r="I36" s="136">
        <v>40</v>
      </c>
      <c r="J36" s="118">
        <v>4</v>
      </c>
      <c r="K36" s="118">
        <v>2</v>
      </c>
      <c r="L36" s="116">
        <v>0</v>
      </c>
      <c r="M36" s="116">
        <v>0</v>
      </c>
      <c r="N36" s="88">
        <v>1.6703173493924699</v>
      </c>
      <c r="O36" s="116">
        <v>3</v>
      </c>
      <c r="P36" s="116">
        <v>2</v>
      </c>
      <c r="Q36" s="116">
        <v>0</v>
      </c>
      <c r="R36" s="116"/>
      <c r="S36" s="125">
        <v>4</v>
      </c>
      <c r="T36" s="136">
        <v>4</v>
      </c>
      <c r="U36" s="125">
        <v>10.105566987083501</v>
      </c>
      <c r="V36" s="125">
        <v>2.8908018283436099</v>
      </c>
      <c r="W36" s="125">
        <v>29.870129870129901</v>
      </c>
      <c r="X36" s="125">
        <v>85.541125541125496</v>
      </c>
      <c r="Y36" s="125">
        <v>3</v>
      </c>
      <c r="Z36" s="125">
        <v>41.991341991341997</v>
      </c>
      <c r="AA36" s="125">
        <v>27.835051546391799</v>
      </c>
      <c r="AB36" s="125">
        <v>31.343283582089601</v>
      </c>
      <c r="AC36" s="88">
        <v>10.535957359245099</v>
      </c>
      <c r="AD36" s="116">
        <v>3</v>
      </c>
      <c r="AE36" s="116">
        <v>55</v>
      </c>
      <c r="AF36" s="116">
        <v>1</v>
      </c>
      <c r="AG36" s="116">
        <v>2</v>
      </c>
      <c r="AH36" s="116">
        <v>1</v>
      </c>
      <c r="AI36" s="116">
        <v>2</v>
      </c>
      <c r="AJ36" s="116">
        <v>3</v>
      </c>
      <c r="AK36" s="116">
        <v>0</v>
      </c>
      <c r="AL36" s="116">
        <v>0</v>
      </c>
      <c r="AM36" s="88">
        <v>0.35437797868955301</v>
      </c>
      <c r="AN36" s="88">
        <v>32.021839875274402</v>
      </c>
      <c r="AO36" s="88">
        <v>8.5114002847263208</v>
      </c>
      <c r="AP36" s="88">
        <v>20.8</v>
      </c>
      <c r="AQ36" s="115">
        <v>0</v>
      </c>
      <c r="AR36" s="115">
        <v>1</v>
      </c>
      <c r="AS36" s="115">
        <v>6</v>
      </c>
      <c r="AT36" s="115">
        <v>0</v>
      </c>
      <c r="AU36" s="115">
        <v>2</v>
      </c>
      <c r="AV36" s="88">
        <v>1</v>
      </c>
      <c r="AW36" s="88">
        <v>0</v>
      </c>
      <c r="AX36" s="88">
        <v>0</v>
      </c>
      <c r="AY36" s="88">
        <v>0</v>
      </c>
      <c r="AZ36" s="88">
        <v>1</v>
      </c>
      <c r="BA36" s="88">
        <v>0</v>
      </c>
      <c r="BC36" s="88">
        <f>60+40</f>
        <v>100</v>
      </c>
      <c r="BD36" s="115">
        <v>3</v>
      </c>
      <c r="BE36" s="115">
        <v>3</v>
      </c>
      <c r="BF36" s="115">
        <v>0</v>
      </c>
      <c r="BG36" s="115">
        <v>0</v>
      </c>
      <c r="BH36" s="111">
        <v>9.2516670743598599</v>
      </c>
      <c r="BI36" s="113">
        <v>0</v>
      </c>
      <c r="BJ36" s="113">
        <v>1</v>
      </c>
      <c r="BK36" s="113">
        <v>1</v>
      </c>
      <c r="BL36" s="88" t="s">
        <v>86</v>
      </c>
      <c r="BM36" s="115">
        <v>3</v>
      </c>
      <c r="BN36" s="115">
        <v>3</v>
      </c>
      <c r="BO36" s="114">
        <v>14.598660236662401</v>
      </c>
      <c r="BP36" s="114">
        <v>2.5032485662643702</v>
      </c>
      <c r="BQ36" s="114">
        <v>72.721289897992804</v>
      </c>
      <c r="BR36" s="114">
        <v>93.024021059559104</v>
      </c>
      <c r="BS36" s="111">
        <v>1</v>
      </c>
      <c r="BT36" s="114">
        <v>47.680157946693001</v>
      </c>
      <c r="BU36" s="114">
        <v>72.808833678398898</v>
      </c>
      <c r="BV36" s="114">
        <v>72.641509433962298</v>
      </c>
      <c r="BW36" s="88">
        <v>4.5053216737541204</v>
      </c>
      <c r="BX36" s="88">
        <v>0.5</v>
      </c>
      <c r="BY36" s="88">
        <v>112</v>
      </c>
      <c r="BZ36" s="88">
        <v>0</v>
      </c>
      <c r="CA36" s="88">
        <v>0.5</v>
      </c>
      <c r="CB36" s="88">
        <v>1</v>
      </c>
      <c r="CC36" s="88">
        <v>3</v>
      </c>
      <c r="CD36" s="88">
        <v>0</v>
      </c>
      <c r="CE36" s="88">
        <v>0</v>
      </c>
      <c r="CF36" s="88">
        <v>72.640264026402704</v>
      </c>
      <c r="CG36" s="88">
        <v>93.300330033003306</v>
      </c>
      <c r="CH36" s="88">
        <v>1</v>
      </c>
      <c r="CI36" s="88">
        <v>47.524752475247503</v>
      </c>
      <c r="CJ36" s="88">
        <v>72.6388888888889</v>
      </c>
      <c r="CK36" s="88">
        <v>72.641509433962298</v>
      </c>
      <c r="CL36" s="88">
        <v>0</v>
      </c>
      <c r="CM36" s="88" t="s">
        <v>358</v>
      </c>
      <c r="CN36" s="88" t="s">
        <v>359</v>
      </c>
      <c r="CO36" s="88" t="s">
        <v>360</v>
      </c>
      <c r="CP36" s="88"/>
    </row>
    <row r="37" spans="1:94" s="62" customFormat="1">
      <c r="A37" s="132" t="s">
        <v>87</v>
      </c>
      <c r="B37" s="123" t="s">
        <v>17</v>
      </c>
      <c r="C37" s="115" t="s">
        <v>18</v>
      </c>
      <c r="D37" s="123">
        <f>F37-E37</f>
        <v>68</v>
      </c>
      <c r="E37" s="133">
        <v>44560</v>
      </c>
      <c r="F37" s="133">
        <v>44628</v>
      </c>
      <c r="G37" s="133"/>
      <c r="H37" s="62">
        <v>1</v>
      </c>
      <c r="I37" s="115">
        <v>4</v>
      </c>
      <c r="J37" s="116">
        <v>0</v>
      </c>
      <c r="K37" s="116">
        <v>0</v>
      </c>
      <c r="L37" s="116">
        <v>0</v>
      </c>
      <c r="M37" s="116">
        <v>0</v>
      </c>
      <c r="N37" s="88">
        <v>2.8266022296205202</v>
      </c>
      <c r="O37" s="116">
        <v>0</v>
      </c>
      <c r="P37" s="116">
        <v>1</v>
      </c>
      <c r="Q37" s="116">
        <v>0</v>
      </c>
      <c r="R37" s="116"/>
      <c r="S37" s="88">
        <v>2</v>
      </c>
      <c r="T37" s="115">
        <v>0</v>
      </c>
      <c r="U37" s="88">
        <v>13.556554356875701</v>
      </c>
      <c r="V37" s="88">
        <v>0.30842525167145601</v>
      </c>
      <c r="W37" s="88">
        <v>21.951219512195099</v>
      </c>
      <c r="X37" s="88">
        <v>100</v>
      </c>
      <c r="Y37" s="88">
        <v>0</v>
      </c>
      <c r="Z37" s="88">
        <v>78.861788617886205</v>
      </c>
      <c r="AA37" s="88">
        <v>27.835051546391799</v>
      </c>
      <c r="AB37" s="88">
        <v>0</v>
      </c>
      <c r="AC37" s="88">
        <v>9.20930150866843</v>
      </c>
      <c r="AD37" s="116">
        <v>3</v>
      </c>
      <c r="AE37" s="116">
        <v>25</v>
      </c>
      <c r="AF37" s="116">
        <v>0</v>
      </c>
      <c r="AG37" s="116">
        <v>0.5</v>
      </c>
      <c r="AH37" s="116">
        <v>2.5</v>
      </c>
      <c r="AI37" s="116">
        <v>3</v>
      </c>
      <c r="AJ37" s="116">
        <v>3</v>
      </c>
      <c r="AK37" s="116">
        <v>0</v>
      </c>
      <c r="AL37" s="116">
        <v>0</v>
      </c>
      <c r="AM37" s="88">
        <v>0.52436157041388198</v>
      </c>
      <c r="AN37" s="88">
        <v>33.594409353972601</v>
      </c>
      <c r="AO37" s="88">
        <v>9.0468969087268505</v>
      </c>
      <c r="AP37" s="88">
        <v>22.9885057471264</v>
      </c>
      <c r="AQ37" s="115">
        <v>1</v>
      </c>
      <c r="AR37" s="115">
        <v>0</v>
      </c>
      <c r="AS37" s="115">
        <v>9</v>
      </c>
      <c r="AT37" s="115">
        <v>2</v>
      </c>
      <c r="AU37" s="115">
        <v>1</v>
      </c>
      <c r="AV37" s="88">
        <v>2</v>
      </c>
      <c r="AW37" s="88">
        <v>0</v>
      </c>
      <c r="AX37" s="88">
        <v>0</v>
      </c>
      <c r="AY37" s="88">
        <v>0</v>
      </c>
      <c r="AZ37" s="88">
        <v>2</v>
      </c>
      <c r="BA37" s="88">
        <v>0</v>
      </c>
      <c r="BC37" s="88">
        <v>95</v>
      </c>
      <c r="BD37" s="115">
        <v>4</v>
      </c>
      <c r="BE37" s="115">
        <v>4</v>
      </c>
      <c r="BF37" s="115">
        <v>0</v>
      </c>
      <c r="BG37" s="115">
        <v>1</v>
      </c>
      <c r="BH37" s="111">
        <v>6.8919656928691504</v>
      </c>
      <c r="BI37" s="113">
        <v>3</v>
      </c>
      <c r="BJ37" s="113">
        <v>3</v>
      </c>
      <c r="BK37" s="113">
        <v>2</v>
      </c>
      <c r="BL37" s="88" t="s">
        <v>88</v>
      </c>
      <c r="BM37" s="115">
        <v>2</v>
      </c>
      <c r="BN37" s="115">
        <v>4</v>
      </c>
      <c r="BO37" s="114">
        <v>18.129064399951599</v>
      </c>
      <c r="BP37" s="114">
        <v>3.7729072903575398</v>
      </c>
      <c r="BQ37" s="114">
        <v>57.513134851138403</v>
      </c>
      <c r="BR37" s="114">
        <v>86.725043782837105</v>
      </c>
      <c r="BS37" s="111">
        <v>2</v>
      </c>
      <c r="BT37" s="114">
        <v>56.672504378283698</v>
      </c>
      <c r="BU37" s="114">
        <v>58.529048207663799</v>
      </c>
      <c r="BV37" s="114">
        <v>56.184316895715398</v>
      </c>
      <c r="BW37" s="88">
        <v>3.2476310653624298</v>
      </c>
      <c r="BX37" s="88">
        <v>29</v>
      </c>
      <c r="BY37" s="88">
        <v>138</v>
      </c>
      <c r="BZ37" s="88">
        <v>4</v>
      </c>
      <c r="CA37" s="88">
        <v>12</v>
      </c>
      <c r="CB37" s="88">
        <v>2</v>
      </c>
      <c r="CC37" s="88">
        <v>1</v>
      </c>
      <c r="CD37" s="88">
        <v>3</v>
      </c>
      <c r="CE37" s="88">
        <v>0</v>
      </c>
      <c r="CF37" s="88">
        <v>46.787603930461103</v>
      </c>
      <c r="CG37" s="88">
        <v>93.348450491307602</v>
      </c>
      <c r="CH37" s="88">
        <v>1</v>
      </c>
      <c r="CI37" s="88">
        <v>52.078609221466401</v>
      </c>
      <c r="CJ37" s="88">
        <v>46.734397677793901</v>
      </c>
      <c r="CK37" s="88">
        <v>46.845425867507899</v>
      </c>
      <c r="CL37" s="88" t="s">
        <v>361</v>
      </c>
      <c r="CM37" s="88" t="s">
        <v>362</v>
      </c>
      <c r="CN37" s="88" t="s">
        <v>363</v>
      </c>
      <c r="CO37" s="88" t="s">
        <v>364</v>
      </c>
      <c r="CP37" s="88"/>
    </row>
    <row r="38" spans="1:94" s="62" customFormat="1">
      <c r="A38" s="137" t="s">
        <v>89</v>
      </c>
      <c r="B38" s="117" t="s">
        <v>17</v>
      </c>
      <c r="C38" s="138" t="s">
        <v>90</v>
      </c>
      <c r="D38" s="139">
        <f>F38-E38</f>
        <v>66</v>
      </c>
      <c r="E38" s="140">
        <v>43749</v>
      </c>
      <c r="F38" s="140">
        <v>43815</v>
      </c>
      <c r="G38" s="140"/>
      <c r="H38" s="62">
        <v>1</v>
      </c>
      <c r="I38" s="88">
        <v>24</v>
      </c>
      <c r="J38" s="88">
        <v>2</v>
      </c>
      <c r="K38" s="116">
        <v>0</v>
      </c>
      <c r="L38" s="116">
        <v>0</v>
      </c>
      <c r="M38" s="116">
        <v>2</v>
      </c>
      <c r="N38" s="88">
        <v>8.9299358311807406</v>
      </c>
      <c r="O38" s="116">
        <v>2</v>
      </c>
      <c r="P38" s="116">
        <v>1</v>
      </c>
      <c r="Q38" s="116">
        <v>2</v>
      </c>
      <c r="R38" s="116"/>
      <c r="S38" s="88">
        <v>1</v>
      </c>
      <c r="T38" s="88">
        <v>3</v>
      </c>
      <c r="U38" s="88">
        <v>15.5721392626669</v>
      </c>
      <c r="V38" s="88">
        <v>2.3699168593175601</v>
      </c>
      <c r="W38" s="88">
        <v>15.3473344103393</v>
      </c>
      <c r="X38" s="88">
        <v>85.783521809370001</v>
      </c>
      <c r="Y38" s="88">
        <v>2</v>
      </c>
      <c r="Z38" s="88">
        <v>54.927302100161597</v>
      </c>
      <c r="AA38" s="88">
        <v>9.7058823529411793</v>
      </c>
      <c r="AB38" s="88">
        <v>22.2222222222222</v>
      </c>
      <c r="AC38" s="88">
        <v>7.2894274709116598</v>
      </c>
      <c r="AD38" s="88">
        <f>3*60+42-28</f>
        <v>194</v>
      </c>
      <c r="AE38" s="88">
        <f>3*60+52-7</f>
        <v>225</v>
      </c>
      <c r="AF38" s="88">
        <v>1</v>
      </c>
      <c r="AG38" s="88">
        <v>1</v>
      </c>
      <c r="AH38" s="88">
        <v>46</v>
      </c>
      <c r="AI38" s="88">
        <v>3</v>
      </c>
      <c r="AJ38" s="88">
        <v>2</v>
      </c>
      <c r="AK38" s="116">
        <v>7</v>
      </c>
      <c r="AL38" s="116">
        <v>17</v>
      </c>
      <c r="AM38" s="88">
        <v>13.294049822729701</v>
      </c>
      <c r="AN38" s="88">
        <v>40.918720610810297</v>
      </c>
      <c r="AO38" s="88">
        <v>6.8943913398024703</v>
      </c>
      <c r="AP38" s="88">
        <v>33.597655576624703</v>
      </c>
      <c r="AQ38" s="115">
        <v>0</v>
      </c>
      <c r="AR38" s="115">
        <v>0</v>
      </c>
      <c r="AS38" s="115">
        <v>10</v>
      </c>
      <c r="AT38" s="115">
        <v>0</v>
      </c>
      <c r="AU38" s="88">
        <v>2</v>
      </c>
      <c r="AV38" s="88">
        <v>62</v>
      </c>
      <c r="AW38" s="88">
        <v>21</v>
      </c>
      <c r="AX38" s="88">
        <v>15</v>
      </c>
      <c r="AY38" s="88">
        <v>16</v>
      </c>
      <c r="AZ38" s="88">
        <v>10</v>
      </c>
      <c r="BA38" s="88">
        <v>0</v>
      </c>
      <c r="BC38" s="88">
        <v>3</v>
      </c>
      <c r="BD38" s="88">
        <v>0</v>
      </c>
      <c r="BE38" s="88">
        <v>0</v>
      </c>
      <c r="BF38" s="88">
        <v>0</v>
      </c>
      <c r="BG38" s="88">
        <v>0</v>
      </c>
      <c r="BH38" s="111">
        <v>14.9044367271675</v>
      </c>
      <c r="BI38" s="113">
        <v>0</v>
      </c>
      <c r="BJ38" s="113">
        <v>2</v>
      </c>
      <c r="BK38" s="113">
        <v>0</v>
      </c>
      <c r="BL38" s="88" t="s">
        <v>91</v>
      </c>
      <c r="BM38" s="141">
        <v>2</v>
      </c>
      <c r="BN38" s="88">
        <v>0</v>
      </c>
      <c r="BO38" s="114">
        <v>13.5979555807509</v>
      </c>
      <c r="BP38" s="114">
        <v>0.308269273175936</v>
      </c>
      <c r="BQ38" s="114">
        <v>13.5135135135135</v>
      </c>
      <c r="BR38" s="114">
        <v>100</v>
      </c>
      <c r="BS38" s="111">
        <v>0</v>
      </c>
      <c r="BT38" s="114">
        <v>40.540540540540498</v>
      </c>
      <c r="BU38" s="114">
        <v>3.3333333333333299</v>
      </c>
      <c r="BV38" s="114">
        <v>20.454545454545499</v>
      </c>
      <c r="BW38" s="88">
        <v>8.7546177102295797</v>
      </c>
      <c r="BX38" s="88">
        <v>4</v>
      </c>
      <c r="BY38" s="88">
        <v>22</v>
      </c>
      <c r="BZ38" s="88">
        <v>0</v>
      </c>
      <c r="CA38" s="88">
        <v>0</v>
      </c>
      <c r="CB38" s="88">
        <v>0</v>
      </c>
      <c r="CC38" s="88">
        <v>3</v>
      </c>
      <c r="CD38" s="88">
        <v>0</v>
      </c>
      <c r="CE38" s="88">
        <v>1</v>
      </c>
      <c r="CF38" s="88" t="s">
        <v>25</v>
      </c>
      <c r="CG38" s="88" t="s">
        <v>25</v>
      </c>
      <c r="CH38" s="88" t="s">
        <v>25</v>
      </c>
      <c r="CI38" s="88" t="s">
        <v>25</v>
      </c>
      <c r="CJ38" s="88" t="s">
        <v>25</v>
      </c>
      <c r="CK38" s="88" t="s">
        <v>25</v>
      </c>
      <c r="CL38" s="88" t="s">
        <v>25</v>
      </c>
      <c r="CM38" s="88" t="s">
        <v>25</v>
      </c>
      <c r="CN38" s="88" t="s">
        <v>25</v>
      </c>
      <c r="CO38" s="88" t="s">
        <v>25</v>
      </c>
      <c r="CP38" s="88"/>
    </row>
    <row r="39" spans="1:94" s="62" customFormat="1">
      <c r="A39" s="137" t="s">
        <v>92</v>
      </c>
      <c r="B39" s="117" t="s">
        <v>17</v>
      </c>
      <c r="C39" s="117" t="s">
        <v>34</v>
      </c>
      <c r="D39" s="139">
        <v>54</v>
      </c>
      <c r="E39" s="140">
        <v>44117</v>
      </c>
      <c r="F39" s="140">
        <v>44171</v>
      </c>
      <c r="G39" s="140"/>
      <c r="H39" s="62">
        <v>1</v>
      </c>
      <c r="I39" s="88">
        <v>21</v>
      </c>
      <c r="J39" s="88">
        <v>2</v>
      </c>
      <c r="K39" s="116">
        <v>0</v>
      </c>
      <c r="L39" s="116">
        <v>0</v>
      </c>
      <c r="M39" s="116">
        <v>0</v>
      </c>
      <c r="N39" s="88">
        <v>14.067321404946</v>
      </c>
      <c r="O39" s="116">
        <v>2</v>
      </c>
      <c r="P39" s="116">
        <v>1</v>
      </c>
      <c r="Q39" s="116">
        <v>2</v>
      </c>
      <c r="R39" s="116"/>
      <c r="S39" s="88">
        <v>4</v>
      </c>
      <c r="T39" s="88">
        <v>2</v>
      </c>
      <c r="U39" s="88">
        <v>12.7204714665419</v>
      </c>
      <c r="V39" s="88">
        <v>2.1044381629686999</v>
      </c>
      <c r="W39" s="88">
        <v>22.1508828250401</v>
      </c>
      <c r="X39" s="88">
        <v>91.492776886035301</v>
      </c>
      <c r="Y39" s="88">
        <v>2</v>
      </c>
      <c r="Z39" s="88">
        <v>42.857142857142897</v>
      </c>
      <c r="AA39" s="88">
        <v>13.1086142322097</v>
      </c>
      <c r="AB39" s="88">
        <v>31.543624161073801</v>
      </c>
      <c r="AC39" s="88">
        <v>12.250937853262601</v>
      </c>
      <c r="AD39" s="88">
        <v>425</v>
      </c>
      <c r="AE39" s="88">
        <v>460</v>
      </c>
      <c r="AF39" s="88">
        <v>8</v>
      </c>
      <c r="AG39" s="88">
        <v>8</v>
      </c>
      <c r="AH39" s="88">
        <v>65</v>
      </c>
      <c r="AI39" s="88">
        <v>1</v>
      </c>
      <c r="AJ39" s="88">
        <v>1</v>
      </c>
      <c r="AK39" s="116">
        <v>14</v>
      </c>
      <c r="AL39" s="116">
        <v>45</v>
      </c>
      <c r="AM39" s="88">
        <v>23.638774805311701</v>
      </c>
      <c r="AN39" s="88">
        <v>38.219538596213603</v>
      </c>
      <c r="AO39" s="88">
        <v>5.6076230424792399</v>
      </c>
      <c r="AP39" s="88">
        <v>44.168440974686497</v>
      </c>
      <c r="AQ39" s="115">
        <v>1</v>
      </c>
      <c r="AR39" s="115">
        <v>1</v>
      </c>
      <c r="AS39" s="115">
        <v>2</v>
      </c>
      <c r="AT39" s="115">
        <v>8</v>
      </c>
      <c r="AU39" s="88">
        <v>3</v>
      </c>
      <c r="AV39" s="88">
        <v>74</v>
      </c>
      <c r="AW39" s="88">
        <v>45</v>
      </c>
      <c r="AX39" s="88">
        <v>14</v>
      </c>
      <c r="AY39" s="88">
        <v>3</v>
      </c>
      <c r="AZ39" s="88">
        <v>9</v>
      </c>
      <c r="BA39" s="88">
        <v>3</v>
      </c>
      <c r="BC39" s="88">
        <v>517</v>
      </c>
      <c r="BD39" s="88">
        <v>15</v>
      </c>
      <c r="BE39" s="88">
        <v>14</v>
      </c>
      <c r="BF39" s="88">
        <v>1</v>
      </c>
      <c r="BG39" s="88">
        <v>5</v>
      </c>
      <c r="BH39" s="111">
        <v>3.1840045279473901</v>
      </c>
      <c r="BI39" s="113">
        <v>3</v>
      </c>
      <c r="BJ39" s="113">
        <v>2</v>
      </c>
      <c r="BK39" s="113">
        <v>0</v>
      </c>
      <c r="BL39" s="88" t="s">
        <v>93</v>
      </c>
      <c r="BM39" s="141">
        <v>4</v>
      </c>
      <c r="BN39" s="88">
        <v>21</v>
      </c>
      <c r="BO39" s="114">
        <v>17.056822865979999</v>
      </c>
      <c r="BP39" s="114">
        <v>22.8841337076752</v>
      </c>
      <c r="BQ39" s="114">
        <v>49.591386690880803</v>
      </c>
      <c r="BR39" s="114">
        <v>66.059151640939206</v>
      </c>
      <c r="BS39" s="111">
        <v>37</v>
      </c>
      <c r="BT39" s="114">
        <v>35.335322350499403</v>
      </c>
      <c r="BU39" s="114">
        <v>43.428781204111601</v>
      </c>
      <c r="BV39" s="114">
        <v>52.958876629889701</v>
      </c>
      <c r="BW39" s="88">
        <v>6.6607255163927803</v>
      </c>
      <c r="BX39" s="88">
        <v>0.5</v>
      </c>
      <c r="BY39" s="88">
        <v>522</v>
      </c>
      <c r="BZ39" s="88">
        <v>0</v>
      </c>
      <c r="CA39" s="88">
        <v>0</v>
      </c>
      <c r="CB39" s="88">
        <v>0</v>
      </c>
      <c r="CC39" s="88">
        <v>1</v>
      </c>
      <c r="CD39" s="88">
        <v>0</v>
      </c>
      <c r="CE39" s="88">
        <v>0</v>
      </c>
      <c r="CF39" s="88">
        <v>19.808743169398898</v>
      </c>
      <c r="CG39" s="88">
        <v>91.256830601092901</v>
      </c>
      <c r="CH39" s="88">
        <v>3</v>
      </c>
      <c r="CI39" s="88">
        <v>44.262295081967203</v>
      </c>
      <c r="CJ39" s="88">
        <v>21.296296296296301</v>
      </c>
      <c r="CK39" s="88">
        <v>18.627450980392201</v>
      </c>
      <c r="CL39" s="88">
        <v>0</v>
      </c>
      <c r="CM39" s="88" t="s">
        <v>365</v>
      </c>
      <c r="CN39" s="88" t="s">
        <v>366</v>
      </c>
      <c r="CO39" s="88" t="s">
        <v>367</v>
      </c>
      <c r="CP39" s="88"/>
    </row>
    <row r="40" spans="1:94" s="62" customFormat="1">
      <c r="A40" s="137" t="s">
        <v>94</v>
      </c>
      <c r="B40" s="117"/>
      <c r="C40" s="117" t="s">
        <v>34</v>
      </c>
      <c r="D40" s="139">
        <v>69</v>
      </c>
      <c r="E40" s="140">
        <v>44166</v>
      </c>
      <c r="F40" s="140">
        <v>44235</v>
      </c>
      <c r="G40" s="140"/>
      <c r="H40" s="62">
        <v>1</v>
      </c>
      <c r="I40" s="88">
        <v>75</v>
      </c>
      <c r="J40" s="88">
        <v>3</v>
      </c>
      <c r="K40" s="116">
        <v>0</v>
      </c>
      <c r="L40" s="116">
        <v>0</v>
      </c>
      <c r="M40" s="116">
        <v>3</v>
      </c>
      <c r="N40" s="88">
        <v>11.878911171557499</v>
      </c>
      <c r="O40" s="116">
        <v>0</v>
      </c>
      <c r="P40" s="116">
        <v>1</v>
      </c>
      <c r="Q40" s="116">
        <v>0</v>
      </c>
      <c r="R40" s="116"/>
      <c r="S40" s="88">
        <v>2</v>
      </c>
      <c r="T40" s="88">
        <v>5</v>
      </c>
      <c r="U40" s="88">
        <v>10.582472216939699</v>
      </c>
      <c r="V40" s="88">
        <v>5.9429689553050302</v>
      </c>
      <c r="W40" s="88">
        <v>29.0671473636773</v>
      </c>
      <c r="X40" s="88">
        <v>84.091933303289807</v>
      </c>
      <c r="Y40" s="88">
        <v>3</v>
      </c>
      <c r="Z40" s="88">
        <v>45.200540784136997</v>
      </c>
      <c r="AA40" s="88">
        <v>32.203389830508499</v>
      </c>
      <c r="AB40" s="88">
        <v>26.480263157894701</v>
      </c>
      <c r="AC40" s="88">
        <v>10.9525465508215</v>
      </c>
      <c r="AD40" s="88">
        <v>525</v>
      </c>
      <c r="AE40" s="88">
        <v>600</v>
      </c>
      <c r="AF40" s="88">
        <v>1</v>
      </c>
      <c r="AG40" s="88">
        <v>1</v>
      </c>
      <c r="AH40" s="88">
        <v>16.5</v>
      </c>
      <c r="AI40" s="88">
        <v>3</v>
      </c>
      <c r="AJ40" s="88">
        <v>3</v>
      </c>
      <c r="AK40" s="88">
        <v>0</v>
      </c>
      <c r="AL40" s="116">
        <v>48</v>
      </c>
      <c r="AM40" s="88">
        <v>33.7724411431481</v>
      </c>
      <c r="AN40" s="88">
        <v>57.866431504573796</v>
      </c>
      <c r="AO40" s="88">
        <v>6.4192299355960296</v>
      </c>
      <c r="AP40" s="88">
        <v>37.102071753410797</v>
      </c>
      <c r="AQ40" s="88" t="s">
        <v>25</v>
      </c>
      <c r="AR40" s="88" t="s">
        <v>25</v>
      </c>
      <c r="AS40" s="88" t="s">
        <v>25</v>
      </c>
      <c r="AT40" s="88" t="s">
        <v>25</v>
      </c>
      <c r="AU40" s="88">
        <v>3</v>
      </c>
      <c r="AV40" s="88">
        <v>21</v>
      </c>
      <c r="AW40" s="88">
        <v>11</v>
      </c>
      <c r="AX40" s="88">
        <v>3</v>
      </c>
      <c r="AY40" s="88">
        <v>3</v>
      </c>
      <c r="AZ40" s="88">
        <v>4</v>
      </c>
      <c r="BA40" s="88">
        <v>0</v>
      </c>
      <c r="BC40" s="88">
        <v>4</v>
      </c>
      <c r="BD40" s="88">
        <v>0</v>
      </c>
      <c r="BE40" s="88">
        <v>0</v>
      </c>
      <c r="BF40" s="88">
        <v>0</v>
      </c>
      <c r="BG40" s="88">
        <v>0</v>
      </c>
      <c r="BH40" s="111">
        <v>13.494333571995099</v>
      </c>
      <c r="BI40" s="113">
        <v>0</v>
      </c>
      <c r="BJ40" s="113">
        <v>1</v>
      </c>
      <c r="BK40" s="113">
        <v>0</v>
      </c>
      <c r="BL40" s="88" t="s">
        <v>95</v>
      </c>
      <c r="BM40" s="141">
        <v>3</v>
      </c>
      <c r="BN40" s="88">
        <v>0</v>
      </c>
      <c r="BO40" s="114">
        <v>9.5672455331650497</v>
      </c>
      <c r="BP40" s="114">
        <v>0.40745365039891901</v>
      </c>
      <c r="BQ40" s="114">
        <v>12.5</v>
      </c>
      <c r="BR40" s="114">
        <v>100</v>
      </c>
      <c r="BS40" s="111">
        <v>0</v>
      </c>
      <c r="BT40" s="114">
        <v>27.0833333333333</v>
      </c>
      <c r="BU40" s="114">
        <v>0</v>
      </c>
      <c r="BV40" s="114">
        <v>17.1428571428571</v>
      </c>
      <c r="BW40" s="88">
        <v>9.9312193336990902</v>
      </c>
      <c r="BX40" s="88">
        <v>0.5</v>
      </c>
      <c r="BY40" s="88">
        <v>30</v>
      </c>
      <c r="BZ40" s="88">
        <v>0</v>
      </c>
      <c r="CA40" s="88">
        <v>0</v>
      </c>
      <c r="CB40" s="88">
        <v>0</v>
      </c>
      <c r="CC40" s="88">
        <v>1</v>
      </c>
      <c r="CD40" s="88">
        <v>0</v>
      </c>
      <c r="CE40" s="88">
        <v>0</v>
      </c>
      <c r="CF40" s="88" t="s">
        <v>25</v>
      </c>
      <c r="CG40" s="88" t="s">
        <v>25</v>
      </c>
      <c r="CH40" s="88" t="s">
        <v>25</v>
      </c>
      <c r="CI40" s="88" t="s">
        <v>25</v>
      </c>
      <c r="CJ40" s="88" t="s">
        <v>25</v>
      </c>
      <c r="CK40" s="88" t="s">
        <v>25</v>
      </c>
      <c r="CL40" s="88" t="s">
        <v>25</v>
      </c>
      <c r="CM40" s="88" t="s">
        <v>25</v>
      </c>
      <c r="CN40" s="88" t="s">
        <v>25</v>
      </c>
      <c r="CO40" s="88" t="s">
        <v>25</v>
      </c>
      <c r="CP40" s="88"/>
    </row>
    <row r="41" spans="1:94" s="62" customFormat="1">
      <c r="A41" s="132" t="s">
        <v>96</v>
      </c>
      <c r="B41" s="123" t="s">
        <v>17</v>
      </c>
      <c r="C41" s="115" t="s">
        <v>70</v>
      </c>
      <c r="D41" s="123">
        <v>107</v>
      </c>
      <c r="E41" s="133">
        <v>43731</v>
      </c>
      <c r="F41" s="133">
        <v>43838</v>
      </c>
      <c r="G41" s="133"/>
      <c r="H41" s="62">
        <v>1</v>
      </c>
      <c r="I41" s="115">
        <v>3</v>
      </c>
      <c r="J41" s="116">
        <v>0</v>
      </c>
      <c r="K41" s="116">
        <v>0</v>
      </c>
      <c r="L41" s="116">
        <v>0</v>
      </c>
      <c r="M41" s="116">
        <v>0</v>
      </c>
      <c r="N41" s="88">
        <v>10.044147805100501</v>
      </c>
      <c r="O41" s="116">
        <v>0</v>
      </c>
      <c r="P41" s="116">
        <v>1</v>
      </c>
      <c r="Q41" s="119">
        <v>0</v>
      </c>
      <c r="R41" s="119"/>
      <c r="S41" s="88">
        <v>3</v>
      </c>
      <c r="T41" s="115">
        <v>0</v>
      </c>
      <c r="U41" s="88">
        <v>13.739318326273301</v>
      </c>
      <c r="V41" s="88">
        <v>0.25664596595293598</v>
      </c>
      <c r="W41" s="88">
        <v>22.5</v>
      </c>
      <c r="X41" s="88">
        <v>100</v>
      </c>
      <c r="Y41" s="88">
        <v>0</v>
      </c>
      <c r="Z41" s="88">
        <v>65</v>
      </c>
      <c r="AA41" s="88">
        <v>34.615384615384599</v>
      </c>
      <c r="AB41" s="88">
        <v>0</v>
      </c>
      <c r="AC41" s="88">
        <v>2.53725688947425</v>
      </c>
      <c r="AD41" s="116">
        <v>2.5</v>
      </c>
      <c r="AE41" s="116">
        <v>25</v>
      </c>
      <c r="AF41" s="116">
        <v>0</v>
      </c>
      <c r="AG41" s="116">
        <v>2</v>
      </c>
      <c r="AH41" s="116">
        <v>0.5</v>
      </c>
      <c r="AI41" s="116">
        <v>1</v>
      </c>
      <c r="AJ41" s="116">
        <v>1</v>
      </c>
      <c r="AK41" s="116">
        <v>0</v>
      </c>
      <c r="AL41" s="116">
        <v>0</v>
      </c>
      <c r="AM41" s="88">
        <v>8.4395346686629805E-2</v>
      </c>
      <c r="AN41" s="88">
        <v>9.4374482560419803</v>
      </c>
      <c r="AO41" s="88">
        <v>3.1737547826984098</v>
      </c>
      <c r="AP41" s="88">
        <v>35</v>
      </c>
      <c r="AQ41" s="115">
        <v>1</v>
      </c>
      <c r="AR41" s="115">
        <v>1</v>
      </c>
      <c r="AS41" s="115">
        <v>23</v>
      </c>
      <c r="AT41" s="115">
        <v>7</v>
      </c>
      <c r="AU41" s="115">
        <v>1</v>
      </c>
      <c r="AV41" s="88">
        <v>1</v>
      </c>
      <c r="AW41" s="88">
        <v>0</v>
      </c>
      <c r="AX41" s="88">
        <v>1</v>
      </c>
      <c r="AY41" s="88">
        <v>0</v>
      </c>
      <c r="AZ41" s="88">
        <v>0</v>
      </c>
      <c r="BA41" s="88">
        <v>0</v>
      </c>
      <c r="BC41" s="88">
        <v>240</v>
      </c>
      <c r="BD41" s="115">
        <v>4</v>
      </c>
      <c r="BE41" s="115">
        <v>4</v>
      </c>
      <c r="BF41" s="115">
        <v>3</v>
      </c>
      <c r="BG41" s="115">
        <v>2</v>
      </c>
      <c r="BH41" s="111">
        <v>4.5328804919395198</v>
      </c>
      <c r="BI41" s="113">
        <v>2</v>
      </c>
      <c r="BJ41" s="113">
        <v>3</v>
      </c>
      <c r="BK41" s="113">
        <v>0</v>
      </c>
      <c r="BL41" s="88" t="s">
        <v>97</v>
      </c>
      <c r="BM41" s="115">
        <v>4</v>
      </c>
      <c r="BN41" s="115">
        <v>6</v>
      </c>
      <c r="BO41" s="114">
        <v>7.47442180235611</v>
      </c>
      <c r="BP41" s="114">
        <v>6.5930052776177597</v>
      </c>
      <c r="BQ41" s="114">
        <v>65.706409372846295</v>
      </c>
      <c r="BR41" s="114">
        <v>59.021364576154397</v>
      </c>
      <c r="BS41" s="111">
        <v>9</v>
      </c>
      <c r="BT41" s="114">
        <v>22.398345968297701</v>
      </c>
      <c r="BU41" s="114">
        <v>44.7384615384615</v>
      </c>
      <c r="BV41" s="114">
        <v>71.758436944937799</v>
      </c>
      <c r="BW41" s="88">
        <v>4.7242240856214703</v>
      </c>
      <c r="BX41" s="88">
        <v>0.5</v>
      </c>
      <c r="BY41" s="88">
        <f>4*60+16</f>
        <v>256</v>
      </c>
      <c r="BZ41" s="88">
        <v>0</v>
      </c>
      <c r="CA41" s="88">
        <v>0</v>
      </c>
      <c r="CB41" s="88">
        <v>0</v>
      </c>
      <c r="CC41" s="88">
        <v>2</v>
      </c>
      <c r="CD41" s="88">
        <v>0</v>
      </c>
      <c r="CE41" s="88">
        <v>0</v>
      </c>
      <c r="CF41" s="88">
        <v>74.776214833759596</v>
      </c>
      <c r="CG41" s="88">
        <v>95.492327365728897</v>
      </c>
      <c r="CH41" s="88">
        <v>1</v>
      </c>
      <c r="CI41" s="88">
        <v>26.3746803069054</v>
      </c>
      <c r="CJ41" s="88">
        <v>60.727272727272698</v>
      </c>
      <c r="CK41" s="88">
        <v>79.8089448545376</v>
      </c>
      <c r="CL41" s="88" t="s">
        <v>368</v>
      </c>
      <c r="CM41" s="88" t="s">
        <v>369</v>
      </c>
      <c r="CN41" s="88" t="s">
        <v>370</v>
      </c>
      <c r="CO41" s="88" t="s">
        <v>371</v>
      </c>
      <c r="CP41" s="88"/>
    </row>
    <row r="42" spans="1:94" s="62" customFormat="1">
      <c r="A42" s="137" t="s">
        <v>98</v>
      </c>
      <c r="B42" s="117" t="s">
        <v>41</v>
      </c>
      <c r="C42" s="138" t="s">
        <v>90</v>
      </c>
      <c r="D42" s="139">
        <v>69</v>
      </c>
      <c r="E42" s="140">
        <v>43749</v>
      </c>
      <c r="F42" s="140">
        <v>43818</v>
      </c>
      <c r="G42" s="140"/>
      <c r="H42" s="62">
        <v>1</v>
      </c>
      <c r="I42" s="125">
        <v>75</v>
      </c>
      <c r="J42" s="125">
        <v>4</v>
      </c>
      <c r="K42" s="125">
        <v>2</v>
      </c>
      <c r="L42" s="88">
        <v>0</v>
      </c>
      <c r="M42" s="88">
        <v>5</v>
      </c>
      <c r="N42" s="88">
        <v>7.0782223549705696</v>
      </c>
      <c r="O42" s="116">
        <v>2</v>
      </c>
      <c r="P42" s="116">
        <v>1</v>
      </c>
      <c r="Q42" s="116">
        <v>3</v>
      </c>
      <c r="R42" s="116"/>
      <c r="S42" s="125">
        <v>3</v>
      </c>
      <c r="T42" s="125">
        <v>9</v>
      </c>
      <c r="U42" s="125">
        <v>18.582151426109998</v>
      </c>
      <c r="V42" s="125">
        <v>5.4886741459515402</v>
      </c>
      <c r="W42" s="125">
        <v>27.148703956343802</v>
      </c>
      <c r="X42" s="125">
        <v>69.076853115052302</v>
      </c>
      <c r="Y42" s="125">
        <v>5</v>
      </c>
      <c r="Z42" s="125">
        <v>41.155070486584798</v>
      </c>
      <c r="AA42" s="125">
        <v>20.994475138121501</v>
      </c>
      <c r="AB42" s="125">
        <v>31.5175097276265</v>
      </c>
      <c r="AC42" s="88">
        <v>2.3608189272757301</v>
      </c>
      <c r="AD42" s="88">
        <v>15</v>
      </c>
      <c r="AE42" s="88">
        <v>122</v>
      </c>
      <c r="AF42" s="88">
        <v>15</v>
      </c>
      <c r="AG42" s="88">
        <v>15</v>
      </c>
      <c r="AH42" s="125">
        <v>0</v>
      </c>
      <c r="AI42" s="88">
        <v>0</v>
      </c>
      <c r="AJ42" s="88">
        <v>0</v>
      </c>
      <c r="AK42" s="88">
        <v>0</v>
      </c>
      <c r="AL42" s="88">
        <v>1</v>
      </c>
      <c r="AM42" s="88">
        <v>0.60801296364700996</v>
      </c>
      <c r="AN42" s="88">
        <v>24.526939947889101</v>
      </c>
      <c r="AO42" s="88">
        <v>3.84262956305232</v>
      </c>
      <c r="AP42" s="88">
        <v>47.058823529411796</v>
      </c>
      <c r="AQ42" s="88">
        <v>2</v>
      </c>
      <c r="AR42" s="88">
        <v>1</v>
      </c>
      <c r="AS42" s="88">
        <v>1</v>
      </c>
      <c r="AT42" s="88">
        <v>5</v>
      </c>
      <c r="AU42" s="88">
        <v>3</v>
      </c>
      <c r="AV42" s="88">
        <v>0</v>
      </c>
      <c r="AW42" s="88">
        <v>0</v>
      </c>
      <c r="AX42" s="88">
        <v>0</v>
      </c>
      <c r="AY42" s="88">
        <v>0</v>
      </c>
      <c r="AZ42" s="88">
        <v>0</v>
      </c>
      <c r="BA42" s="88">
        <v>0</v>
      </c>
      <c r="BC42" s="88">
        <v>75</v>
      </c>
      <c r="BD42" s="88">
        <v>2</v>
      </c>
      <c r="BE42" s="88">
        <v>2</v>
      </c>
      <c r="BF42" s="88">
        <v>0</v>
      </c>
      <c r="BG42" s="88">
        <v>2</v>
      </c>
      <c r="BH42" s="111">
        <v>4.0521523652587303</v>
      </c>
      <c r="BI42" s="113">
        <v>0</v>
      </c>
      <c r="BJ42" s="113">
        <v>2</v>
      </c>
      <c r="BK42" s="113">
        <v>1</v>
      </c>
      <c r="BL42" s="88" t="s">
        <v>99</v>
      </c>
      <c r="BM42" s="141">
        <v>2</v>
      </c>
      <c r="BN42" s="88">
        <v>4</v>
      </c>
      <c r="BO42" s="114">
        <v>12.921761049676601</v>
      </c>
      <c r="BP42" s="114">
        <v>3.1337873568149401</v>
      </c>
      <c r="BQ42" s="114">
        <v>51.205093224192801</v>
      </c>
      <c r="BR42" s="114">
        <v>43.383356070941304</v>
      </c>
      <c r="BS42" s="111">
        <v>1</v>
      </c>
      <c r="BT42" s="114">
        <v>64.802182810368393</v>
      </c>
      <c r="BU42" s="114">
        <v>61.754385964912302</v>
      </c>
      <c r="BV42" s="114">
        <v>31.782945736434101</v>
      </c>
      <c r="BW42" s="88">
        <v>4.3252714545733602</v>
      </c>
      <c r="BX42" s="88">
        <v>20</v>
      </c>
      <c r="BY42" s="88">
        <v>100</v>
      </c>
      <c r="BZ42" s="88">
        <v>1</v>
      </c>
      <c r="CA42" s="88">
        <v>16</v>
      </c>
      <c r="CB42" s="88">
        <v>2</v>
      </c>
      <c r="CC42" s="88">
        <v>2</v>
      </c>
      <c r="CD42" s="88">
        <v>0</v>
      </c>
      <c r="CE42" s="88">
        <v>0</v>
      </c>
      <c r="CF42" s="88">
        <v>45.1891174518912</v>
      </c>
      <c r="CG42" s="88">
        <v>54.213669542136699</v>
      </c>
      <c r="CH42" s="88">
        <v>1</v>
      </c>
      <c r="CI42" s="88">
        <v>58.659588586595902</v>
      </c>
      <c r="CJ42" s="88">
        <v>52.828054298642499</v>
      </c>
      <c r="CK42" s="88">
        <v>34.349919743178198</v>
      </c>
      <c r="CL42" s="88" t="s">
        <v>372</v>
      </c>
      <c r="CM42" s="88" t="s">
        <v>373</v>
      </c>
      <c r="CN42" s="88" t="s">
        <v>374</v>
      </c>
      <c r="CO42" s="88" t="s">
        <v>375</v>
      </c>
      <c r="CP42" s="88"/>
    </row>
    <row r="43" spans="1:94" s="62" customFormat="1">
      <c r="A43" s="132" t="s">
        <v>100</v>
      </c>
      <c r="B43" s="123" t="s">
        <v>17</v>
      </c>
      <c r="C43" s="115" t="s">
        <v>70</v>
      </c>
      <c r="D43" s="123">
        <v>74</v>
      </c>
      <c r="E43" s="133">
        <v>43765</v>
      </c>
      <c r="F43" s="133">
        <v>43839</v>
      </c>
      <c r="G43" s="133"/>
      <c r="H43" s="62">
        <v>1</v>
      </c>
      <c r="I43" s="115">
        <v>10</v>
      </c>
      <c r="J43" s="116">
        <v>1</v>
      </c>
      <c r="K43" s="116">
        <v>0</v>
      </c>
      <c r="L43" s="116">
        <v>0</v>
      </c>
      <c r="M43" s="116">
        <v>0</v>
      </c>
      <c r="N43" s="88">
        <v>1.3709047633131399</v>
      </c>
      <c r="O43" s="116">
        <v>0</v>
      </c>
      <c r="P43" s="116">
        <v>1</v>
      </c>
      <c r="Q43" s="116">
        <v>0</v>
      </c>
      <c r="R43" s="116"/>
      <c r="S43" s="88">
        <v>3</v>
      </c>
      <c r="T43" s="115">
        <v>1</v>
      </c>
      <c r="U43" s="88">
        <v>12.4308721881082</v>
      </c>
      <c r="V43" s="88">
        <v>1.08518429172174</v>
      </c>
      <c r="W43" s="88">
        <v>27.112676056338</v>
      </c>
      <c r="X43" s="88">
        <v>57.042253521126803</v>
      </c>
      <c r="Y43" s="88">
        <v>1</v>
      </c>
      <c r="Z43" s="88">
        <v>60.915492957746501</v>
      </c>
      <c r="AA43" s="88">
        <v>40.462427745664698</v>
      </c>
      <c r="AB43" s="88">
        <v>6.3063063063063103</v>
      </c>
      <c r="AC43" s="88">
        <v>10.3923913419909</v>
      </c>
      <c r="AD43" s="116">
        <v>1</v>
      </c>
      <c r="AE43" s="116">
        <v>43</v>
      </c>
      <c r="AF43" s="116">
        <v>0</v>
      </c>
      <c r="AG43" s="116">
        <v>0</v>
      </c>
      <c r="AH43" s="118">
        <v>0</v>
      </c>
      <c r="AI43" s="117">
        <v>0</v>
      </c>
      <c r="AJ43" s="117">
        <v>0</v>
      </c>
      <c r="AK43" s="116">
        <v>0</v>
      </c>
      <c r="AL43" s="116">
        <v>0</v>
      </c>
      <c r="AM43" s="88">
        <v>6.3981231871258801E-2</v>
      </c>
      <c r="AN43" s="88">
        <v>20.206130717379398</v>
      </c>
      <c r="AO43" s="88">
        <v>5.3468148223820204</v>
      </c>
      <c r="AP43" s="88">
        <v>13.8888888888889</v>
      </c>
      <c r="AQ43" s="115">
        <v>0</v>
      </c>
      <c r="AR43" s="115">
        <v>0</v>
      </c>
      <c r="AS43" s="88">
        <v>3</v>
      </c>
      <c r="AT43" s="115">
        <v>0</v>
      </c>
      <c r="AU43" s="115">
        <v>3</v>
      </c>
      <c r="AV43" s="88">
        <v>0</v>
      </c>
      <c r="AW43" s="88">
        <v>0</v>
      </c>
      <c r="AX43" s="88">
        <v>0</v>
      </c>
      <c r="AY43" s="88">
        <v>0</v>
      </c>
      <c r="AZ43" s="88">
        <v>0</v>
      </c>
      <c r="BA43" s="88">
        <v>0</v>
      </c>
      <c r="BC43" s="88">
        <v>70</v>
      </c>
      <c r="BD43" s="115">
        <v>2</v>
      </c>
      <c r="BE43" s="115">
        <v>1</v>
      </c>
      <c r="BF43" s="115">
        <v>0</v>
      </c>
      <c r="BG43" s="115">
        <v>1</v>
      </c>
      <c r="BH43" s="111">
        <v>3.0989333838607598</v>
      </c>
      <c r="BI43" s="113">
        <v>3</v>
      </c>
      <c r="BJ43" s="113">
        <v>2</v>
      </c>
      <c r="BK43" s="113">
        <v>0</v>
      </c>
      <c r="BL43" s="88" t="s">
        <v>101</v>
      </c>
      <c r="BM43" s="115">
        <v>3</v>
      </c>
      <c r="BN43" s="115">
        <v>3</v>
      </c>
      <c r="BO43" s="114">
        <v>12.867756416905699</v>
      </c>
      <c r="BP43" s="114">
        <v>4.6934613211570904</v>
      </c>
      <c r="BQ43" s="114">
        <v>36.190032603633</v>
      </c>
      <c r="BR43" s="114">
        <v>69.445738239403795</v>
      </c>
      <c r="BS43" s="111">
        <v>3</v>
      </c>
      <c r="BT43" s="114">
        <v>31.998136935258501</v>
      </c>
      <c r="BU43" s="114">
        <v>27.074235807860301</v>
      </c>
      <c r="BV43" s="114">
        <v>40.984743411927901</v>
      </c>
      <c r="BW43" s="88">
        <v>7.0614679398535101</v>
      </c>
      <c r="BX43" s="88">
        <v>2.5</v>
      </c>
      <c r="BY43" s="88">
        <f>80</f>
        <v>80</v>
      </c>
      <c r="BZ43" s="88">
        <v>0</v>
      </c>
      <c r="CA43" s="88">
        <v>1</v>
      </c>
      <c r="CB43" s="88">
        <v>1</v>
      </c>
      <c r="CC43" s="88">
        <v>3</v>
      </c>
      <c r="CD43" s="88">
        <v>0</v>
      </c>
      <c r="CE43" s="88">
        <v>0</v>
      </c>
      <c r="CF43" s="88">
        <v>36.488027366020503</v>
      </c>
      <c r="CG43" s="88">
        <v>70.581527936146003</v>
      </c>
      <c r="CH43" s="88">
        <v>0</v>
      </c>
      <c r="CI43" s="88">
        <v>33.751425313569001</v>
      </c>
      <c r="CJ43" s="88">
        <v>21.2837837837838</v>
      </c>
      <c r="CK43" s="88">
        <v>45.6483126110124</v>
      </c>
      <c r="CL43" s="88" t="s">
        <v>376</v>
      </c>
      <c r="CM43" s="88" t="s">
        <v>377</v>
      </c>
      <c r="CN43" s="88" t="s">
        <v>378</v>
      </c>
      <c r="CO43" s="88" t="s">
        <v>379</v>
      </c>
      <c r="CP43" s="88"/>
    </row>
    <row r="44" spans="1:94" s="62" customFormat="1">
      <c r="A44" s="132" t="s">
        <v>102</v>
      </c>
      <c r="B44" s="123" t="s">
        <v>41</v>
      </c>
      <c r="C44" s="115" t="s">
        <v>70</v>
      </c>
      <c r="D44" s="123">
        <v>52</v>
      </c>
      <c r="E44" s="133">
        <v>43703</v>
      </c>
      <c r="F44" s="133">
        <v>43755</v>
      </c>
      <c r="G44" s="133"/>
      <c r="H44" s="62">
        <v>1</v>
      </c>
      <c r="I44" s="115">
        <v>5</v>
      </c>
      <c r="J44" s="116">
        <v>0</v>
      </c>
      <c r="K44" s="116">
        <v>0</v>
      </c>
      <c r="L44" s="116">
        <v>0</v>
      </c>
      <c r="M44" s="116">
        <v>0</v>
      </c>
      <c r="N44" s="88">
        <v>12.195323945658499</v>
      </c>
      <c r="O44" s="116">
        <v>0</v>
      </c>
      <c r="P44" s="116">
        <v>1</v>
      </c>
      <c r="Q44" s="116">
        <v>0</v>
      </c>
      <c r="R44" s="116"/>
      <c r="S44" s="88">
        <v>5</v>
      </c>
      <c r="T44" s="115">
        <v>0</v>
      </c>
      <c r="U44" s="88">
        <v>5.2212262017859796</v>
      </c>
      <c r="V44" s="88">
        <v>0.46362337296872203</v>
      </c>
      <c r="W44" s="88">
        <v>27.1428571428571</v>
      </c>
      <c r="X44" s="88">
        <v>100</v>
      </c>
      <c r="Y44" s="88">
        <v>0</v>
      </c>
      <c r="Z44" s="88">
        <v>32.142857142857103</v>
      </c>
      <c r="AA44" s="88">
        <v>13.3333333333333</v>
      </c>
      <c r="AB44" s="88">
        <v>33.684210526315802</v>
      </c>
      <c r="AC44" s="88">
        <v>1.62974801077336</v>
      </c>
      <c r="AD44" s="116">
        <v>2</v>
      </c>
      <c r="AE44" s="116">
        <v>72</v>
      </c>
      <c r="AF44" s="116">
        <v>0</v>
      </c>
      <c r="AG44" s="116">
        <v>0</v>
      </c>
      <c r="AH44" s="116">
        <v>0.5</v>
      </c>
      <c r="AI44" s="116">
        <v>1</v>
      </c>
      <c r="AJ44" s="116">
        <v>1</v>
      </c>
      <c r="AK44" s="116">
        <v>0</v>
      </c>
      <c r="AL44" s="116">
        <v>0</v>
      </c>
      <c r="AM44" s="88">
        <v>3.7931291708178903E-2</v>
      </c>
      <c r="AN44" s="88">
        <v>5.5594659272644797</v>
      </c>
      <c r="AO44" s="88">
        <v>1.6996530928277001</v>
      </c>
      <c r="AP44" s="88">
        <v>79.104477611940297</v>
      </c>
      <c r="AQ44" s="115">
        <v>2</v>
      </c>
      <c r="AR44" s="115">
        <v>0</v>
      </c>
      <c r="AS44" s="115">
        <v>6</v>
      </c>
      <c r="AT44" s="115">
        <v>2</v>
      </c>
      <c r="AU44" s="115">
        <v>1</v>
      </c>
      <c r="AV44" s="88">
        <v>1</v>
      </c>
      <c r="AW44" s="88">
        <v>0</v>
      </c>
      <c r="AX44" s="88">
        <v>1</v>
      </c>
      <c r="AY44" s="88">
        <v>0</v>
      </c>
      <c r="AZ44" s="88">
        <v>0</v>
      </c>
      <c r="BA44" s="88">
        <v>0</v>
      </c>
      <c r="BC44" s="63">
        <v>3.5</v>
      </c>
      <c r="BD44" s="115">
        <v>0</v>
      </c>
      <c r="BE44" s="115">
        <v>0</v>
      </c>
      <c r="BF44" s="115">
        <v>0</v>
      </c>
      <c r="BG44" s="115">
        <v>0</v>
      </c>
      <c r="BH44" s="111">
        <v>10.246033534668401</v>
      </c>
      <c r="BI44" s="113">
        <v>2</v>
      </c>
      <c r="BJ44" s="113">
        <v>2</v>
      </c>
      <c r="BK44" s="113">
        <v>1</v>
      </c>
      <c r="BL44" s="88" t="s">
        <v>103</v>
      </c>
      <c r="BM44" s="115">
        <v>3</v>
      </c>
      <c r="BN44" s="115">
        <v>0</v>
      </c>
      <c r="BO44" s="114">
        <v>6.88955075783658</v>
      </c>
      <c r="BP44" s="114">
        <v>0.317609538544253</v>
      </c>
      <c r="BQ44" s="114">
        <v>15.6862745098039</v>
      </c>
      <c r="BR44" s="114">
        <v>100</v>
      </c>
      <c r="BS44" s="111">
        <v>0</v>
      </c>
      <c r="BT44" s="114">
        <v>40.196078431372598</v>
      </c>
      <c r="BU44" s="114">
        <v>4.8780487804878101</v>
      </c>
      <c r="BV44" s="114">
        <v>22.9508196721311</v>
      </c>
      <c r="BW44" s="88">
        <v>5.2583521438075396</v>
      </c>
      <c r="BX44" s="88">
        <v>2</v>
      </c>
      <c r="BY44" s="88">
        <v>40</v>
      </c>
      <c r="BZ44" s="88">
        <v>0.5</v>
      </c>
      <c r="CA44" s="88">
        <v>1</v>
      </c>
      <c r="CB44" s="88">
        <v>2</v>
      </c>
      <c r="CC44" s="88">
        <v>1</v>
      </c>
      <c r="CD44" s="88">
        <v>0</v>
      </c>
      <c r="CE44" s="88">
        <v>0</v>
      </c>
      <c r="CF44" s="88" t="s">
        <v>25</v>
      </c>
      <c r="CG44" s="88" t="s">
        <v>25</v>
      </c>
      <c r="CH44" s="88" t="s">
        <v>25</v>
      </c>
      <c r="CI44" s="88" t="s">
        <v>25</v>
      </c>
      <c r="CJ44" s="88" t="s">
        <v>25</v>
      </c>
      <c r="CK44" s="88" t="s">
        <v>25</v>
      </c>
      <c r="CL44" s="88" t="s">
        <v>25</v>
      </c>
      <c r="CM44" s="88" t="s">
        <v>25</v>
      </c>
      <c r="CN44" s="88" t="s">
        <v>25</v>
      </c>
      <c r="CO44" s="88" t="s">
        <v>25</v>
      </c>
      <c r="CP44" s="88"/>
    </row>
    <row r="45" spans="1:94" s="62" customFormat="1">
      <c r="A45" s="132" t="s">
        <v>104</v>
      </c>
      <c r="B45" s="123" t="s">
        <v>17</v>
      </c>
      <c r="C45" s="115" t="s">
        <v>18</v>
      </c>
      <c r="D45" s="123">
        <f>F45-E45</f>
        <v>62</v>
      </c>
      <c r="E45" s="133">
        <v>44117</v>
      </c>
      <c r="F45" s="133">
        <v>44179</v>
      </c>
      <c r="G45" s="133"/>
      <c r="H45" s="62">
        <v>1</v>
      </c>
      <c r="I45" s="115">
        <v>17</v>
      </c>
      <c r="J45" s="116">
        <v>0</v>
      </c>
      <c r="K45" s="116">
        <v>0</v>
      </c>
      <c r="L45" s="116">
        <v>0</v>
      </c>
      <c r="M45" s="116">
        <v>1</v>
      </c>
      <c r="N45" s="88">
        <v>10.9515976919644</v>
      </c>
      <c r="O45" s="116">
        <v>2</v>
      </c>
      <c r="P45" s="116">
        <v>2</v>
      </c>
      <c r="Q45" s="116">
        <v>0</v>
      </c>
      <c r="R45" s="116"/>
      <c r="S45" s="88">
        <v>4</v>
      </c>
      <c r="T45" s="115">
        <v>1</v>
      </c>
      <c r="U45" s="88">
        <v>10.534949514617599</v>
      </c>
      <c r="V45" s="88">
        <v>1.9156896951217299</v>
      </c>
      <c r="W45" s="88">
        <v>6.5088757396449699</v>
      </c>
      <c r="X45" s="88">
        <v>74.556213017751503</v>
      </c>
      <c r="Y45" s="88">
        <v>1</v>
      </c>
      <c r="Z45" s="88">
        <v>42.011834319526599</v>
      </c>
      <c r="AA45" s="88">
        <v>10.7981220657277</v>
      </c>
      <c r="AB45" s="88">
        <v>3.40136054421769</v>
      </c>
      <c r="AC45" s="88">
        <v>9.5490021154704507</v>
      </c>
      <c r="AD45" s="116">
        <v>1</v>
      </c>
      <c r="AE45" s="120">
        <v>32</v>
      </c>
      <c r="AF45" s="116">
        <v>0</v>
      </c>
      <c r="AG45" s="116">
        <v>0</v>
      </c>
      <c r="AH45" s="116">
        <v>0.5</v>
      </c>
      <c r="AI45" s="116">
        <v>0</v>
      </c>
      <c r="AJ45" s="116">
        <v>2</v>
      </c>
      <c r="AK45" s="116">
        <v>0</v>
      </c>
      <c r="AL45" s="116">
        <v>0</v>
      </c>
      <c r="AM45" s="88">
        <v>5.7001809327670197E-2</v>
      </c>
      <c r="AN45" s="88">
        <v>16.181300347354298</v>
      </c>
      <c r="AO45" s="88">
        <v>4.0828185943018998</v>
      </c>
      <c r="AP45" s="88">
        <v>59.523809523809497</v>
      </c>
      <c r="AQ45" s="115">
        <v>0</v>
      </c>
      <c r="AR45" s="115">
        <v>0</v>
      </c>
      <c r="AS45" s="115">
        <v>10</v>
      </c>
      <c r="AT45" s="115">
        <v>3</v>
      </c>
      <c r="AU45" s="115">
        <v>1</v>
      </c>
      <c r="AV45" s="88">
        <v>1</v>
      </c>
      <c r="AW45" s="88">
        <v>1</v>
      </c>
      <c r="AX45" s="88">
        <v>0</v>
      </c>
      <c r="AY45" s="88">
        <v>0</v>
      </c>
      <c r="AZ45" s="88">
        <v>0</v>
      </c>
      <c r="BA45" s="88">
        <v>0</v>
      </c>
      <c r="BC45" s="63">
        <v>10</v>
      </c>
      <c r="BD45" s="115">
        <v>1</v>
      </c>
      <c r="BE45" s="112">
        <v>1</v>
      </c>
      <c r="BF45" s="112">
        <v>0</v>
      </c>
      <c r="BG45" s="115">
        <v>0</v>
      </c>
      <c r="BH45" s="111">
        <v>10.9218267216462</v>
      </c>
      <c r="BI45" s="113">
        <v>3</v>
      </c>
      <c r="BJ45" s="113">
        <v>2</v>
      </c>
      <c r="BK45" s="113">
        <v>1</v>
      </c>
      <c r="BL45" s="88" t="s">
        <v>105</v>
      </c>
      <c r="BM45" s="115">
        <v>2</v>
      </c>
      <c r="BN45" s="115">
        <v>1</v>
      </c>
      <c r="BO45" s="114">
        <v>10.9852847983455</v>
      </c>
      <c r="BP45" s="114">
        <v>1.0606277648209901</v>
      </c>
      <c r="BQ45" s="114">
        <v>15.384615384615399</v>
      </c>
      <c r="BR45" s="114">
        <v>85.618729096989995</v>
      </c>
      <c r="BS45" s="111">
        <v>0</v>
      </c>
      <c r="BT45" s="114">
        <v>51.505016722408001</v>
      </c>
      <c r="BU45" s="114">
        <v>17.5324675324675</v>
      </c>
      <c r="BV45" s="114">
        <v>13.1034482758621</v>
      </c>
      <c r="BW45" s="88">
        <v>11.3556453718511</v>
      </c>
      <c r="BX45" s="88">
        <v>0.2</v>
      </c>
      <c r="BY45" s="88">
        <v>66</v>
      </c>
      <c r="BZ45" s="88">
        <v>0</v>
      </c>
      <c r="CA45" s="88">
        <v>0</v>
      </c>
      <c r="CB45" s="88">
        <v>1</v>
      </c>
      <c r="CC45" s="88">
        <v>2</v>
      </c>
      <c r="CD45" s="88">
        <v>0</v>
      </c>
      <c r="CE45" s="88">
        <v>0</v>
      </c>
      <c r="CF45" s="88" t="s">
        <v>25</v>
      </c>
      <c r="CG45" s="88" t="s">
        <v>25</v>
      </c>
      <c r="CH45" s="88" t="s">
        <v>25</v>
      </c>
      <c r="CI45" s="88" t="s">
        <v>25</v>
      </c>
      <c r="CJ45" s="88" t="s">
        <v>25</v>
      </c>
      <c r="CK45" s="88" t="s">
        <v>25</v>
      </c>
      <c r="CL45" s="88" t="s">
        <v>25</v>
      </c>
      <c r="CM45" s="88" t="s">
        <v>25</v>
      </c>
      <c r="CN45" s="88" t="s">
        <v>25</v>
      </c>
      <c r="CO45" s="88" t="s">
        <v>25</v>
      </c>
      <c r="CP45" s="88"/>
    </row>
    <row r="46" spans="1:94" s="62" customFormat="1">
      <c r="A46" s="142" t="s">
        <v>106</v>
      </c>
      <c r="B46" s="88" t="s">
        <v>17</v>
      </c>
      <c r="C46" s="88" t="s">
        <v>107</v>
      </c>
      <c r="D46" s="114">
        <f t="shared" ref="D46:D50" si="1">F46-E46</f>
        <v>71</v>
      </c>
      <c r="E46" s="124">
        <v>43683</v>
      </c>
      <c r="F46" s="124">
        <v>43754</v>
      </c>
      <c r="G46" s="124"/>
      <c r="H46" s="62">
        <v>1</v>
      </c>
      <c r="I46" s="88">
        <f>33-5</f>
        <v>28</v>
      </c>
      <c r="J46" s="88">
        <v>3</v>
      </c>
      <c r="K46" s="88">
        <v>2</v>
      </c>
      <c r="L46" s="88">
        <v>0</v>
      </c>
      <c r="M46" s="88">
        <v>0</v>
      </c>
      <c r="N46" s="88">
        <v>10.5694604344128</v>
      </c>
      <c r="O46" s="116">
        <v>2</v>
      </c>
      <c r="P46" s="116">
        <v>3</v>
      </c>
      <c r="Q46" s="116">
        <v>2</v>
      </c>
      <c r="R46" s="116"/>
      <c r="S46" s="88">
        <v>3</v>
      </c>
      <c r="T46" s="88">
        <v>3</v>
      </c>
      <c r="U46" s="88">
        <v>7.63401292154348</v>
      </c>
      <c r="V46" s="88">
        <v>2.5613377675529199</v>
      </c>
      <c r="W46" s="88">
        <v>19.7752808988764</v>
      </c>
      <c r="X46" s="88">
        <v>67.752808988764002</v>
      </c>
      <c r="Y46" s="88">
        <v>2</v>
      </c>
      <c r="Z46" s="88">
        <v>63.7078651685393</v>
      </c>
      <c r="AA46" s="88">
        <v>24.162257495590801</v>
      </c>
      <c r="AB46" s="88">
        <v>12.540192926045</v>
      </c>
      <c r="AC46" s="88">
        <v>9.7177490415202605</v>
      </c>
      <c r="AD46" s="88">
        <v>4</v>
      </c>
      <c r="AE46" s="88">
        <v>38</v>
      </c>
      <c r="AF46" s="88">
        <v>0</v>
      </c>
      <c r="AG46" s="88">
        <v>1</v>
      </c>
      <c r="AH46" s="88">
        <v>2</v>
      </c>
      <c r="AI46" s="88">
        <v>2</v>
      </c>
      <c r="AJ46" s="88">
        <v>3</v>
      </c>
      <c r="AK46" s="88">
        <v>0</v>
      </c>
      <c r="AL46" s="88">
        <v>0</v>
      </c>
      <c r="AM46" s="88">
        <v>0.31458851091399898</v>
      </c>
      <c r="AN46" s="88">
        <v>26.2301697409745</v>
      </c>
      <c r="AO46" s="88">
        <v>9.53996249736438</v>
      </c>
      <c r="AP46" s="88">
        <v>9.0909090909090899</v>
      </c>
      <c r="AQ46" s="88">
        <v>0</v>
      </c>
      <c r="AR46" s="88">
        <v>0</v>
      </c>
      <c r="AS46" s="88">
        <v>5</v>
      </c>
      <c r="AT46" s="88">
        <v>3</v>
      </c>
      <c r="AU46" s="88">
        <v>2</v>
      </c>
      <c r="AV46" s="88">
        <v>1</v>
      </c>
      <c r="AW46" s="88">
        <v>0</v>
      </c>
      <c r="AX46" s="88">
        <v>0</v>
      </c>
      <c r="AY46" s="88">
        <v>0</v>
      </c>
      <c r="AZ46" s="88">
        <v>1</v>
      </c>
      <c r="BA46" s="88">
        <v>0</v>
      </c>
      <c r="BC46" s="88">
        <v>382</v>
      </c>
      <c r="BD46" s="115">
        <v>9</v>
      </c>
      <c r="BE46" s="115">
        <v>6</v>
      </c>
      <c r="BF46" s="115">
        <v>1</v>
      </c>
      <c r="BG46" s="115">
        <v>4</v>
      </c>
      <c r="BH46" s="111">
        <v>4.0249166576313096</v>
      </c>
      <c r="BI46" s="113">
        <v>3</v>
      </c>
      <c r="BJ46" s="113">
        <v>3</v>
      </c>
      <c r="BK46" s="113">
        <v>2</v>
      </c>
      <c r="BL46" s="88" t="s">
        <v>108</v>
      </c>
      <c r="BM46" s="115">
        <v>1</v>
      </c>
      <c r="BN46" s="115">
        <v>13</v>
      </c>
      <c r="BO46" s="114">
        <v>8.9479167995127593</v>
      </c>
      <c r="BP46" s="114">
        <v>11.6695468191214</v>
      </c>
      <c r="BQ46" s="114">
        <v>58.851758136288304</v>
      </c>
      <c r="BR46" s="114">
        <v>67.646802198760994</v>
      </c>
      <c r="BS46" s="111">
        <v>17</v>
      </c>
      <c r="BT46" s="114">
        <v>41.793909780996401</v>
      </c>
      <c r="BU46" s="114">
        <v>51.189979123173302</v>
      </c>
      <c r="BV46" s="114">
        <v>64.353170439214495</v>
      </c>
      <c r="BW46" s="88">
        <v>6.3854429281080796</v>
      </c>
      <c r="BX46" s="88">
        <v>0.5</v>
      </c>
      <c r="BY46" s="88">
        <f>7*60</f>
        <v>420</v>
      </c>
      <c r="BZ46" s="88">
        <v>0</v>
      </c>
      <c r="CA46" s="88">
        <v>0.5</v>
      </c>
      <c r="CB46" s="88">
        <v>1</v>
      </c>
      <c r="CC46" s="88">
        <v>1</v>
      </c>
      <c r="CD46" s="88">
        <v>0</v>
      </c>
      <c r="CE46" s="88">
        <v>0</v>
      </c>
      <c r="CF46" s="88">
        <v>68.404588112617304</v>
      </c>
      <c r="CG46" s="88">
        <v>89.468196037539101</v>
      </c>
      <c r="CH46" s="88">
        <v>2</v>
      </c>
      <c r="CI46" s="88">
        <v>28.050052137643402</v>
      </c>
      <c r="CJ46" s="88">
        <v>51.425030978934302</v>
      </c>
      <c r="CK46" s="88">
        <v>75.024154589372003</v>
      </c>
      <c r="CL46" s="88">
        <v>0</v>
      </c>
      <c r="CM46" s="88" t="s">
        <v>380</v>
      </c>
      <c r="CN46" s="88" t="s">
        <v>381</v>
      </c>
      <c r="CO46" s="88" t="s">
        <v>382</v>
      </c>
      <c r="CP46" s="88"/>
    </row>
    <row r="47" spans="1:94" s="62" customFormat="1">
      <c r="A47" s="142" t="s">
        <v>109</v>
      </c>
      <c r="B47" s="88" t="s">
        <v>17</v>
      </c>
      <c r="C47" s="88" t="s">
        <v>34</v>
      </c>
      <c r="D47" s="114">
        <f t="shared" si="1"/>
        <v>60</v>
      </c>
      <c r="E47" s="124">
        <v>44187</v>
      </c>
      <c r="F47" s="124">
        <v>44247</v>
      </c>
      <c r="G47" s="124"/>
      <c r="H47" s="62">
        <v>1</v>
      </c>
      <c r="I47" s="88">
        <v>11</v>
      </c>
      <c r="J47" s="88">
        <v>1</v>
      </c>
      <c r="K47" s="88">
        <v>0</v>
      </c>
      <c r="L47" s="88">
        <v>0</v>
      </c>
      <c r="M47" s="88">
        <v>0</v>
      </c>
      <c r="N47" s="88">
        <v>5.3623230173430096</v>
      </c>
      <c r="O47" s="116">
        <v>0</v>
      </c>
      <c r="P47" s="116">
        <v>1</v>
      </c>
      <c r="Q47" s="116">
        <v>0</v>
      </c>
      <c r="R47" s="116"/>
      <c r="S47" s="88">
        <v>4</v>
      </c>
      <c r="T47" s="88">
        <v>1</v>
      </c>
      <c r="U47" s="88">
        <v>10.8733643869075</v>
      </c>
      <c r="V47" s="88">
        <v>1.55077933648275</v>
      </c>
      <c r="W47" s="88">
        <v>22.485207100591701</v>
      </c>
      <c r="X47" s="88">
        <v>92.307692307692307</v>
      </c>
      <c r="Y47" s="88">
        <v>0</v>
      </c>
      <c r="Z47" s="88">
        <v>47.731755424063103</v>
      </c>
      <c r="AA47" s="88">
        <v>21.4876033057851</v>
      </c>
      <c r="AB47" s="88">
        <v>25.242718446601899</v>
      </c>
      <c r="AC47" s="88">
        <v>6.0387680966674502</v>
      </c>
      <c r="AD47" s="88">
        <v>3</v>
      </c>
      <c r="AE47" s="88">
        <v>35</v>
      </c>
      <c r="AF47" s="88">
        <v>0</v>
      </c>
      <c r="AG47" s="88">
        <v>2</v>
      </c>
      <c r="AH47" s="88">
        <v>1</v>
      </c>
      <c r="AI47" s="88">
        <v>2</v>
      </c>
      <c r="AJ47" s="88">
        <v>3</v>
      </c>
      <c r="AK47" s="88">
        <v>0</v>
      </c>
      <c r="AL47" s="88">
        <v>0</v>
      </c>
      <c r="AM47" s="88">
        <v>0.440605749353771</v>
      </c>
      <c r="AN47" s="88">
        <v>28.535896602148799</v>
      </c>
      <c r="AO47" s="88">
        <v>7.2284524909413896</v>
      </c>
      <c r="AP47" s="88">
        <v>39.344262295081997</v>
      </c>
      <c r="AQ47" s="88">
        <v>0</v>
      </c>
      <c r="AR47" s="88">
        <v>0</v>
      </c>
      <c r="AS47" s="88">
        <v>1</v>
      </c>
      <c r="AT47" s="88">
        <v>3</v>
      </c>
      <c r="AU47" s="88">
        <v>2</v>
      </c>
      <c r="AV47" s="88">
        <v>1</v>
      </c>
      <c r="AW47" s="88">
        <v>0</v>
      </c>
      <c r="AX47" s="88">
        <v>0</v>
      </c>
      <c r="AY47" s="88">
        <v>0</v>
      </c>
      <c r="AZ47" s="88">
        <v>1</v>
      </c>
      <c r="BA47" s="88">
        <v>0</v>
      </c>
      <c r="BC47" s="88">
        <f>7*60+35</f>
        <v>455</v>
      </c>
      <c r="BD47" s="115">
        <v>15</v>
      </c>
      <c r="BE47" s="115">
        <v>13</v>
      </c>
      <c r="BF47" s="115">
        <v>2</v>
      </c>
      <c r="BG47" s="115">
        <v>3</v>
      </c>
      <c r="BH47" s="111">
        <v>6.20542025639699</v>
      </c>
      <c r="BI47" s="113">
        <v>3</v>
      </c>
      <c r="BJ47" s="113">
        <v>3</v>
      </c>
      <c r="BK47" s="113">
        <v>3</v>
      </c>
      <c r="BL47" s="88" t="s">
        <v>110</v>
      </c>
      <c r="BM47" s="115">
        <v>7</v>
      </c>
      <c r="BN47" s="115">
        <v>18</v>
      </c>
      <c r="BO47" s="114">
        <v>11.5897825203603</v>
      </c>
      <c r="BP47" s="114">
        <v>20.667442694936099</v>
      </c>
      <c r="BQ47" s="114">
        <v>46.437238032208299</v>
      </c>
      <c r="BR47" s="114">
        <v>61.335392308258001</v>
      </c>
      <c r="BS47" s="111">
        <v>26</v>
      </c>
      <c r="BT47" s="114">
        <v>31.487609383042901</v>
      </c>
      <c r="BU47" s="114">
        <v>34.2830453059318</v>
      </c>
      <c r="BV47" s="114">
        <v>52.023183428142097</v>
      </c>
      <c r="BW47" s="88">
        <v>3.2066621066632202</v>
      </c>
      <c r="BX47" s="88">
        <v>142</v>
      </c>
      <c r="BY47" s="88">
        <v>600</v>
      </c>
      <c r="BZ47" s="88">
        <v>0</v>
      </c>
      <c r="CA47" s="88">
        <v>24</v>
      </c>
      <c r="CB47" s="88">
        <v>0</v>
      </c>
      <c r="CC47" s="88">
        <v>0</v>
      </c>
      <c r="CD47" s="88">
        <v>0</v>
      </c>
      <c r="CE47" s="88">
        <v>11</v>
      </c>
      <c r="CF47" s="88">
        <v>52.358765288293498</v>
      </c>
      <c r="CG47" s="88">
        <v>50.087361677344198</v>
      </c>
      <c r="CH47" s="88">
        <v>1</v>
      </c>
      <c r="CI47" s="88">
        <v>30.751310425160199</v>
      </c>
      <c r="CJ47" s="88">
        <v>32.765151515151501</v>
      </c>
      <c r="CK47" s="88">
        <v>61.0597140454163</v>
      </c>
      <c r="CL47" s="88" t="s">
        <v>383</v>
      </c>
      <c r="CM47" s="88" t="s">
        <v>384</v>
      </c>
      <c r="CN47" s="88" t="s">
        <v>385</v>
      </c>
      <c r="CO47" s="88" t="s">
        <v>386</v>
      </c>
      <c r="CP47" s="88"/>
    </row>
    <row r="48" spans="1:94" s="62" customFormat="1">
      <c r="A48" s="108" t="s">
        <v>111</v>
      </c>
      <c r="B48" s="123" t="s">
        <v>17</v>
      </c>
      <c r="C48" s="115" t="s">
        <v>70</v>
      </c>
      <c r="D48" s="123">
        <f t="shared" si="1"/>
        <v>75</v>
      </c>
      <c r="E48" s="133">
        <v>43765</v>
      </c>
      <c r="F48" s="133">
        <v>43840</v>
      </c>
      <c r="G48" s="133"/>
      <c r="H48" s="62">
        <v>1</v>
      </c>
      <c r="I48" s="115">
        <v>86</v>
      </c>
      <c r="J48" s="116">
        <v>2</v>
      </c>
      <c r="K48" s="116">
        <v>1</v>
      </c>
      <c r="L48" s="116">
        <v>0</v>
      </c>
      <c r="M48" s="116">
        <v>0</v>
      </c>
      <c r="N48" s="88">
        <v>5.5186676397082</v>
      </c>
      <c r="O48" s="116">
        <v>3</v>
      </c>
      <c r="P48" s="116">
        <v>2</v>
      </c>
      <c r="Q48" s="116">
        <v>0</v>
      </c>
      <c r="R48" s="116"/>
      <c r="S48" s="88">
        <v>15</v>
      </c>
      <c r="T48" s="115">
        <v>3</v>
      </c>
      <c r="U48" s="88">
        <v>12.493318825883</v>
      </c>
      <c r="V48" s="88">
        <v>2.5252327525384199</v>
      </c>
      <c r="W48" s="88">
        <v>67.0200681560015</v>
      </c>
      <c r="X48" s="88">
        <v>89.587277546383902</v>
      </c>
      <c r="Y48" s="88">
        <v>0</v>
      </c>
      <c r="Z48" s="88">
        <v>49.640287769784202</v>
      </c>
      <c r="AA48" s="88">
        <v>64.073226544622401</v>
      </c>
      <c r="AB48" s="88">
        <v>69.924812030075202</v>
      </c>
      <c r="AC48" s="88">
        <v>8.4219498413615597</v>
      </c>
      <c r="AD48" s="116">
        <f>2*60+47-92</f>
        <v>75</v>
      </c>
      <c r="AE48" s="116">
        <f>120+55</f>
        <v>175</v>
      </c>
      <c r="AF48" s="116">
        <v>0</v>
      </c>
      <c r="AG48" s="116">
        <v>2</v>
      </c>
      <c r="AH48" s="116">
        <v>26</v>
      </c>
      <c r="AI48" s="116">
        <v>3</v>
      </c>
      <c r="AJ48" s="116">
        <v>2</v>
      </c>
      <c r="AK48" s="116">
        <v>6</v>
      </c>
      <c r="AL48" s="116">
        <v>6</v>
      </c>
      <c r="AM48" s="88">
        <v>4.5605878899230099</v>
      </c>
      <c r="AN48" s="88">
        <v>33.997541094159203</v>
      </c>
      <c r="AO48" s="88">
        <v>6.1276739321834004</v>
      </c>
      <c r="AP48" s="88">
        <v>40.821795444394802</v>
      </c>
      <c r="AQ48" s="115">
        <v>0</v>
      </c>
      <c r="AR48" s="115">
        <v>0</v>
      </c>
      <c r="AS48" s="115">
        <v>7</v>
      </c>
      <c r="AT48" s="115">
        <v>9</v>
      </c>
      <c r="AU48" s="115">
        <v>3</v>
      </c>
      <c r="AV48" s="88">
        <v>17</v>
      </c>
      <c r="AW48" s="88">
        <v>4</v>
      </c>
      <c r="AX48" s="88">
        <v>3</v>
      </c>
      <c r="AY48" s="88">
        <v>4</v>
      </c>
      <c r="AZ48" s="88">
        <v>4</v>
      </c>
      <c r="BA48" s="88">
        <v>2</v>
      </c>
      <c r="BC48" s="88">
        <v>600</v>
      </c>
      <c r="BD48" s="115">
        <v>14</v>
      </c>
      <c r="BE48" s="115">
        <v>13</v>
      </c>
      <c r="BF48" s="115">
        <v>10</v>
      </c>
      <c r="BG48" s="115">
        <v>5</v>
      </c>
      <c r="BH48" s="111" t="s">
        <v>25</v>
      </c>
      <c r="BI48" s="113">
        <v>5</v>
      </c>
      <c r="BJ48" s="113">
        <v>5</v>
      </c>
      <c r="BK48" s="113">
        <v>5</v>
      </c>
      <c r="BL48" s="88" t="s">
        <v>26</v>
      </c>
      <c r="BM48" s="115">
        <v>2</v>
      </c>
      <c r="BN48" s="115">
        <v>19</v>
      </c>
      <c r="BO48" s="114">
        <v>14.3959778644649</v>
      </c>
      <c r="BP48" s="114">
        <v>20.225044191150801</v>
      </c>
      <c r="BQ48" s="114">
        <v>60.905213007589602</v>
      </c>
      <c r="BR48" s="114">
        <v>61.032629771203801</v>
      </c>
      <c r="BS48" s="111">
        <v>18</v>
      </c>
      <c r="BT48" s="114">
        <v>23.261869148523601</v>
      </c>
      <c r="BU48" s="114">
        <v>42.057632769707098</v>
      </c>
      <c r="BV48" s="114">
        <v>66.618538839156798</v>
      </c>
      <c r="BW48" s="88" t="s">
        <v>25</v>
      </c>
      <c r="BX48" s="88" t="s">
        <v>25</v>
      </c>
      <c r="BY48" s="88" t="s">
        <v>25</v>
      </c>
      <c r="BZ48" s="88" t="s">
        <v>25</v>
      </c>
      <c r="CA48" s="88" t="s">
        <v>25</v>
      </c>
      <c r="CB48" s="88" t="s">
        <v>25</v>
      </c>
      <c r="CC48" s="88" t="s">
        <v>25</v>
      </c>
      <c r="CD48" s="88" t="s">
        <v>25</v>
      </c>
      <c r="CE48" s="88" t="s">
        <v>25</v>
      </c>
      <c r="CF48" s="88">
        <v>22.2826086956522</v>
      </c>
      <c r="CG48" s="88">
        <v>87.391304347826093</v>
      </c>
      <c r="CH48" s="88">
        <v>0</v>
      </c>
      <c r="CI48" s="88">
        <v>29.239130434782599</v>
      </c>
      <c r="CJ48" s="88">
        <v>17.472118959107799</v>
      </c>
      <c r="CK48" s="88">
        <v>24.270353302611401</v>
      </c>
      <c r="CL48" s="88">
        <v>0</v>
      </c>
      <c r="CM48" s="88" t="s">
        <v>387</v>
      </c>
      <c r="CN48" s="88" t="s">
        <v>388</v>
      </c>
      <c r="CO48" s="88" t="s">
        <v>389</v>
      </c>
      <c r="CP48" s="88"/>
    </row>
    <row r="49" spans="1:94" s="62" customFormat="1">
      <c r="A49" s="108" t="s">
        <v>112</v>
      </c>
      <c r="B49" s="123" t="s">
        <v>41</v>
      </c>
      <c r="C49" s="115" t="s">
        <v>70</v>
      </c>
      <c r="D49" s="123">
        <f t="shared" si="1"/>
        <v>54</v>
      </c>
      <c r="E49" s="133">
        <v>43703</v>
      </c>
      <c r="F49" s="133">
        <v>43757</v>
      </c>
      <c r="G49" s="133"/>
      <c r="H49" s="62">
        <v>1</v>
      </c>
      <c r="I49" s="115">
        <v>9</v>
      </c>
      <c r="J49" s="116">
        <v>0</v>
      </c>
      <c r="K49" s="116">
        <v>0</v>
      </c>
      <c r="L49" s="116">
        <v>0</v>
      </c>
      <c r="M49" s="116">
        <v>1</v>
      </c>
      <c r="N49" s="88">
        <v>7.5420960044145504</v>
      </c>
      <c r="O49" s="116">
        <v>0</v>
      </c>
      <c r="P49" s="116">
        <v>1</v>
      </c>
      <c r="Q49" s="116">
        <v>0</v>
      </c>
      <c r="R49" s="116"/>
      <c r="S49" s="88">
        <v>9</v>
      </c>
      <c r="T49" s="115">
        <v>1</v>
      </c>
      <c r="U49" s="88">
        <v>9.0396349956482993</v>
      </c>
      <c r="V49" s="88">
        <v>0.87030641002587905</v>
      </c>
      <c r="W49" s="88">
        <v>15.298507462686601</v>
      </c>
      <c r="X49" s="88">
        <v>74.253731343283604</v>
      </c>
      <c r="Y49" s="88">
        <v>1</v>
      </c>
      <c r="Z49" s="88">
        <v>54.8507462686567</v>
      </c>
      <c r="AA49" s="88">
        <v>17.687074829932001</v>
      </c>
      <c r="AB49" s="88">
        <v>12.396694214876</v>
      </c>
      <c r="AC49" s="88">
        <v>2.53129799139995</v>
      </c>
      <c r="AD49" s="116">
        <v>7</v>
      </c>
      <c r="AE49" s="116">
        <v>33</v>
      </c>
      <c r="AF49" s="116">
        <v>3</v>
      </c>
      <c r="AG49" s="116">
        <v>3</v>
      </c>
      <c r="AH49" s="116">
        <v>2</v>
      </c>
      <c r="AI49" s="116">
        <v>2</v>
      </c>
      <c r="AJ49" s="116">
        <v>1</v>
      </c>
      <c r="AK49" s="116">
        <v>0</v>
      </c>
      <c r="AL49" s="116">
        <v>0</v>
      </c>
      <c r="AM49" s="88">
        <v>0.18789598342625399</v>
      </c>
      <c r="AN49" s="88">
        <v>23.234802905890099</v>
      </c>
      <c r="AO49" s="88">
        <v>2.8346671602024101</v>
      </c>
      <c r="AP49" s="88">
        <v>62.311557788944697</v>
      </c>
      <c r="AQ49" s="115">
        <v>0</v>
      </c>
      <c r="AR49" s="115">
        <v>0</v>
      </c>
      <c r="AS49" s="115">
        <v>4</v>
      </c>
      <c r="AT49" s="115">
        <v>4</v>
      </c>
      <c r="AU49" s="115">
        <v>0</v>
      </c>
      <c r="AV49" s="88">
        <v>2</v>
      </c>
      <c r="AW49" s="88">
        <v>0</v>
      </c>
      <c r="AX49" s="88">
        <v>0</v>
      </c>
      <c r="AY49" s="88">
        <v>1</v>
      </c>
      <c r="AZ49" s="88">
        <v>0</v>
      </c>
      <c r="BA49" s="88">
        <v>0</v>
      </c>
      <c r="BC49" s="88">
        <v>3.5</v>
      </c>
      <c r="BD49" s="115">
        <v>0</v>
      </c>
      <c r="BE49" s="115">
        <v>0</v>
      </c>
      <c r="BF49" s="115">
        <v>0</v>
      </c>
      <c r="BG49" s="115">
        <v>0</v>
      </c>
      <c r="BH49" s="111">
        <v>4.8636649182144502</v>
      </c>
      <c r="BI49" s="113">
        <v>0</v>
      </c>
      <c r="BJ49" s="113">
        <v>1</v>
      </c>
      <c r="BK49" s="113">
        <v>0</v>
      </c>
      <c r="BL49" s="88" t="s">
        <v>113</v>
      </c>
      <c r="BM49" s="115">
        <v>3</v>
      </c>
      <c r="BN49" s="115">
        <v>0</v>
      </c>
      <c r="BO49" s="114">
        <v>9.4613552545390505</v>
      </c>
      <c r="BP49" s="114">
        <v>0.26655187758138899</v>
      </c>
      <c r="BQ49" s="114">
        <v>33.628318584070797</v>
      </c>
      <c r="BR49" s="114">
        <v>100</v>
      </c>
      <c r="BS49" s="111">
        <v>0</v>
      </c>
      <c r="BT49" s="114">
        <v>86.725663716814196</v>
      </c>
      <c r="BU49" s="114">
        <v>38.775510204081598</v>
      </c>
      <c r="BV49" s="114">
        <v>0</v>
      </c>
      <c r="BW49" s="88">
        <v>5.6736715508043698</v>
      </c>
      <c r="BX49" s="88">
        <v>0.5</v>
      </c>
      <c r="BY49" s="88">
        <f>65</f>
        <v>65</v>
      </c>
      <c r="BZ49" s="88">
        <v>0</v>
      </c>
      <c r="CA49" s="88">
        <v>0.5</v>
      </c>
      <c r="CB49" s="88">
        <v>1</v>
      </c>
      <c r="CC49" s="88">
        <v>1</v>
      </c>
      <c r="CD49" s="88">
        <v>0</v>
      </c>
      <c r="CE49" s="88">
        <v>0</v>
      </c>
      <c r="CF49" s="88" t="s">
        <v>25</v>
      </c>
      <c r="CG49" s="88" t="s">
        <v>25</v>
      </c>
      <c r="CH49" s="88" t="s">
        <v>25</v>
      </c>
      <c r="CI49" s="88" t="s">
        <v>25</v>
      </c>
      <c r="CJ49" s="88" t="s">
        <v>25</v>
      </c>
      <c r="CK49" s="88" t="s">
        <v>25</v>
      </c>
      <c r="CL49" s="88" t="s">
        <v>25</v>
      </c>
      <c r="CM49" s="88" t="s">
        <v>25</v>
      </c>
      <c r="CN49" s="88" t="s">
        <v>25</v>
      </c>
      <c r="CO49" s="88" t="s">
        <v>25</v>
      </c>
      <c r="CP49" s="88"/>
    </row>
    <row r="50" spans="1:94" s="62" customFormat="1">
      <c r="A50" s="108" t="s">
        <v>114</v>
      </c>
      <c r="B50" s="123" t="s">
        <v>17</v>
      </c>
      <c r="C50" s="115" t="s">
        <v>18</v>
      </c>
      <c r="D50" s="123">
        <f t="shared" si="1"/>
        <v>55</v>
      </c>
      <c r="E50" s="133">
        <v>44117</v>
      </c>
      <c r="F50" s="133">
        <v>44172</v>
      </c>
      <c r="G50" s="133"/>
      <c r="H50" s="62">
        <v>1</v>
      </c>
      <c r="I50" s="115">
        <v>15</v>
      </c>
      <c r="J50" s="116">
        <v>1</v>
      </c>
      <c r="K50" s="116">
        <v>1</v>
      </c>
      <c r="L50" s="116">
        <v>0</v>
      </c>
      <c r="M50" s="116">
        <v>0</v>
      </c>
      <c r="N50" s="88">
        <v>9.3953042254766892</v>
      </c>
      <c r="O50" s="116">
        <v>0</v>
      </c>
      <c r="P50" s="116">
        <v>2</v>
      </c>
      <c r="Q50" s="116">
        <v>1</v>
      </c>
      <c r="R50" s="116"/>
      <c r="S50" s="88">
        <v>6</v>
      </c>
      <c r="T50" s="115">
        <v>1</v>
      </c>
      <c r="U50" s="88">
        <v>8.5097379621717408</v>
      </c>
      <c r="V50" s="88">
        <v>1.25183979836288</v>
      </c>
      <c r="W50" s="88">
        <v>21.395348837209301</v>
      </c>
      <c r="X50" s="88">
        <v>100</v>
      </c>
      <c r="Y50" s="88">
        <v>0</v>
      </c>
      <c r="Z50" s="88">
        <v>45.581395348837198</v>
      </c>
      <c r="AA50" s="88">
        <v>23.979591836734699</v>
      </c>
      <c r="AB50" s="88">
        <v>19.230769230769202</v>
      </c>
      <c r="AC50" s="88">
        <v>8.9601631296318605</v>
      </c>
      <c r="AD50" s="116">
        <v>2.5</v>
      </c>
      <c r="AE50" s="116">
        <f>41-5</f>
        <v>36</v>
      </c>
      <c r="AF50" s="116">
        <v>0.5</v>
      </c>
      <c r="AG50" s="116">
        <v>2</v>
      </c>
      <c r="AH50" s="116">
        <v>1</v>
      </c>
      <c r="AI50" s="116">
        <v>1</v>
      </c>
      <c r="AJ50" s="116">
        <v>1</v>
      </c>
      <c r="AK50" s="116">
        <v>0</v>
      </c>
      <c r="AL50" s="116">
        <v>0</v>
      </c>
      <c r="AM50" s="88">
        <v>0.116012360158011</v>
      </c>
      <c r="AN50" s="88">
        <v>26.1629619824141</v>
      </c>
      <c r="AO50" s="88">
        <v>4.4176753957078798</v>
      </c>
      <c r="AP50" s="88">
        <v>37.974683544303801</v>
      </c>
      <c r="AQ50" s="115">
        <v>0</v>
      </c>
      <c r="AR50" s="115">
        <v>0</v>
      </c>
      <c r="AS50" s="115">
        <v>7</v>
      </c>
      <c r="AT50" s="115">
        <v>2</v>
      </c>
      <c r="AU50" s="115">
        <v>1</v>
      </c>
      <c r="AV50" s="88">
        <v>1</v>
      </c>
      <c r="AW50" s="88">
        <v>0</v>
      </c>
      <c r="AX50" s="88">
        <v>0</v>
      </c>
      <c r="AY50" s="88">
        <v>1</v>
      </c>
      <c r="AZ50" s="88">
        <v>0</v>
      </c>
      <c r="BA50" s="88">
        <v>0</v>
      </c>
      <c r="BC50" s="88">
        <f>4*60+15</f>
        <v>255</v>
      </c>
      <c r="BD50" s="115">
        <v>10</v>
      </c>
      <c r="BE50" s="115">
        <v>9</v>
      </c>
      <c r="BF50" s="115">
        <v>3</v>
      </c>
      <c r="BG50" s="115">
        <v>5</v>
      </c>
      <c r="BH50" s="111">
        <v>4.6705024581896302</v>
      </c>
      <c r="BI50" s="113">
        <v>2</v>
      </c>
      <c r="BJ50" s="113">
        <v>2</v>
      </c>
      <c r="BK50" s="113">
        <v>1</v>
      </c>
      <c r="BL50" s="88" t="s">
        <v>115</v>
      </c>
      <c r="BM50" s="115">
        <v>2</v>
      </c>
      <c r="BN50" s="115">
        <v>15</v>
      </c>
      <c r="BO50" s="114">
        <v>15.1298688725257</v>
      </c>
      <c r="BP50" s="114">
        <v>10.5156163303557</v>
      </c>
      <c r="BQ50" s="114">
        <v>52.806925498425997</v>
      </c>
      <c r="BR50" s="114">
        <v>81.230325288562398</v>
      </c>
      <c r="BS50" s="111">
        <v>12</v>
      </c>
      <c r="BT50" s="114">
        <v>45.081322140608599</v>
      </c>
      <c r="BU50" s="114">
        <v>45.795752109397696</v>
      </c>
      <c r="BV50" s="114">
        <v>58.562216384045897</v>
      </c>
      <c r="BW50" s="88">
        <v>11.5900362130362</v>
      </c>
      <c r="BX50" s="88">
        <v>4.5</v>
      </c>
      <c r="BY50" s="88">
        <f>4*60+32</f>
        <v>272</v>
      </c>
      <c r="BZ50" s="88">
        <v>0.5</v>
      </c>
      <c r="CA50" s="88">
        <v>2.5</v>
      </c>
      <c r="CB50" s="88">
        <v>3</v>
      </c>
      <c r="CC50" s="88">
        <v>3</v>
      </c>
      <c r="CD50" s="88">
        <v>0</v>
      </c>
      <c r="CE50" s="88">
        <v>0</v>
      </c>
      <c r="CF50" s="88">
        <v>54.297820823244599</v>
      </c>
      <c r="CG50" s="88">
        <v>93.523002421307496</v>
      </c>
      <c r="CH50" s="88">
        <v>3</v>
      </c>
      <c r="CI50" s="88">
        <v>54.661016949152497</v>
      </c>
      <c r="CJ50" s="88">
        <v>55.481727574750799</v>
      </c>
      <c r="CK50" s="88">
        <v>52.870493991989299</v>
      </c>
      <c r="CL50" s="88" t="s">
        <v>390</v>
      </c>
      <c r="CM50" s="88" t="s">
        <v>391</v>
      </c>
      <c r="CN50" s="88" t="s">
        <v>392</v>
      </c>
      <c r="CO50" s="88" t="s">
        <v>393</v>
      </c>
      <c r="CP50" s="88"/>
    </row>
    <row r="51" spans="1:94" s="62" customFormat="1">
      <c r="A51" s="63" t="s">
        <v>116</v>
      </c>
      <c r="B51" s="88" t="s">
        <v>41</v>
      </c>
      <c r="C51" s="88" t="s">
        <v>70</v>
      </c>
      <c r="D51" s="114">
        <f>F51-E51</f>
        <v>76</v>
      </c>
      <c r="E51" s="124">
        <v>43770</v>
      </c>
      <c r="F51" s="124">
        <v>43846</v>
      </c>
      <c r="G51" s="124"/>
      <c r="H51" s="62">
        <v>1</v>
      </c>
      <c r="I51" s="88">
        <v>28</v>
      </c>
      <c r="J51" s="88">
        <v>1</v>
      </c>
      <c r="K51" s="88">
        <v>1</v>
      </c>
      <c r="L51" s="88">
        <v>0</v>
      </c>
      <c r="M51" s="88">
        <v>1</v>
      </c>
      <c r="N51" s="88">
        <v>1.37982235688536</v>
      </c>
      <c r="O51" s="116">
        <v>3</v>
      </c>
      <c r="P51" s="116">
        <v>3</v>
      </c>
      <c r="Q51" s="116">
        <v>3</v>
      </c>
      <c r="R51" s="116"/>
      <c r="S51" s="88">
        <v>4</v>
      </c>
      <c r="T51" s="88">
        <v>2</v>
      </c>
      <c r="U51" s="88">
        <v>10.9374299905519</v>
      </c>
      <c r="V51" s="88">
        <v>1.1316009649238301</v>
      </c>
      <c r="W51" s="88">
        <v>33.471074380165298</v>
      </c>
      <c r="X51" s="88">
        <v>76.446280991735506</v>
      </c>
      <c r="Y51" s="88">
        <v>0</v>
      </c>
      <c r="Z51" s="88">
        <v>69.214876033057905</v>
      </c>
      <c r="AA51" s="88">
        <v>34.626865671641802</v>
      </c>
      <c r="AB51" s="88">
        <v>30.8724832214765</v>
      </c>
      <c r="AC51" s="88">
        <v>0.55631977943002298</v>
      </c>
      <c r="AD51" s="88">
        <f>3*60+11-32</f>
        <v>159</v>
      </c>
      <c r="AE51" s="88">
        <f>3*60+20</f>
        <v>200</v>
      </c>
      <c r="AF51" s="88">
        <f>40+38</f>
        <v>78</v>
      </c>
      <c r="AG51" s="88">
        <v>78</v>
      </c>
      <c r="AH51" s="88">
        <v>42.5</v>
      </c>
      <c r="AI51" s="88">
        <v>1</v>
      </c>
      <c r="AJ51" s="88">
        <v>0</v>
      </c>
      <c r="AK51" s="88">
        <v>5</v>
      </c>
      <c r="AL51" s="88">
        <v>5</v>
      </c>
      <c r="AM51" s="88">
        <v>5.1142740722138997</v>
      </c>
      <c r="AN51" s="88">
        <v>27.306873891980899</v>
      </c>
      <c r="AO51" s="88">
        <v>3.0413241678477898</v>
      </c>
      <c r="AP51" s="88">
        <v>56.908479936746403</v>
      </c>
      <c r="AQ51" s="88">
        <v>0</v>
      </c>
      <c r="AR51" s="88">
        <v>0</v>
      </c>
      <c r="AS51" s="88">
        <v>4</v>
      </c>
      <c r="AT51" s="88">
        <v>0</v>
      </c>
      <c r="AU51" s="88">
        <v>1</v>
      </c>
      <c r="AV51" s="88">
        <v>3</v>
      </c>
      <c r="AW51" s="88">
        <v>2</v>
      </c>
      <c r="AX51" s="88">
        <v>0</v>
      </c>
      <c r="AY51" s="88">
        <v>0</v>
      </c>
      <c r="AZ51" s="88">
        <v>0</v>
      </c>
      <c r="BA51" s="88">
        <v>1</v>
      </c>
      <c r="BC51" s="88">
        <v>165</v>
      </c>
      <c r="BD51" s="88">
        <v>4</v>
      </c>
      <c r="BE51" s="88">
        <v>4</v>
      </c>
      <c r="BF51" s="88">
        <v>1</v>
      </c>
      <c r="BG51" s="88">
        <v>0</v>
      </c>
      <c r="BH51" s="111">
        <v>7.8155952656102796</v>
      </c>
      <c r="BI51" s="113">
        <v>3</v>
      </c>
      <c r="BJ51" s="113">
        <v>3</v>
      </c>
      <c r="BK51" s="113">
        <v>1</v>
      </c>
      <c r="BL51" s="88" t="s">
        <v>117</v>
      </c>
      <c r="BM51" s="88">
        <v>10</v>
      </c>
      <c r="BN51" s="88">
        <v>4</v>
      </c>
      <c r="BO51" s="114">
        <v>17.368730587246802</v>
      </c>
      <c r="BP51" s="114">
        <v>6.0634173351834502</v>
      </c>
      <c r="BQ51" s="114">
        <v>54.283410602701103</v>
      </c>
      <c r="BR51" s="114">
        <v>59.282402741382803</v>
      </c>
      <c r="BS51" s="111">
        <v>12</v>
      </c>
      <c r="BT51" s="114">
        <v>42.390647046966301</v>
      </c>
      <c r="BU51" s="114">
        <v>53.637660485021399</v>
      </c>
      <c r="BV51" s="114">
        <v>54.758572428271499</v>
      </c>
      <c r="BW51" s="88">
        <v>6.6304106756339198</v>
      </c>
      <c r="BX51" s="88">
        <v>1</v>
      </c>
      <c r="BY51" s="88">
        <v>185</v>
      </c>
      <c r="BZ51" s="88">
        <v>0</v>
      </c>
      <c r="CA51" s="88">
        <v>0.5</v>
      </c>
      <c r="CB51" s="88">
        <v>1</v>
      </c>
      <c r="CC51" s="88">
        <v>3</v>
      </c>
      <c r="CD51" s="88">
        <v>0</v>
      </c>
      <c r="CE51" s="88">
        <v>0</v>
      </c>
      <c r="CF51" s="88">
        <v>56.993006993007</v>
      </c>
      <c r="CG51" s="88">
        <v>79.620379620379595</v>
      </c>
      <c r="CH51" s="88">
        <v>2</v>
      </c>
      <c r="CI51" s="88">
        <v>43.006993006993</v>
      </c>
      <c r="CJ51" s="88">
        <v>51.335656213705001</v>
      </c>
      <c r="CK51" s="88">
        <v>61.262050832603002</v>
      </c>
      <c r="CL51" s="88" t="s">
        <v>394</v>
      </c>
      <c r="CM51" s="88" t="s">
        <v>395</v>
      </c>
      <c r="CN51" s="88" t="s">
        <v>396</v>
      </c>
      <c r="CO51" s="88" t="s">
        <v>397</v>
      </c>
      <c r="CP51" s="88"/>
    </row>
    <row r="52" spans="1:94" s="62" customFormat="1">
      <c r="A52" s="108" t="s">
        <v>118</v>
      </c>
      <c r="B52" s="123" t="s">
        <v>41</v>
      </c>
      <c r="C52" s="115" t="s">
        <v>70</v>
      </c>
      <c r="D52" s="123">
        <f t="shared" ref="D52:D58" si="2">F52-E52</f>
        <v>49</v>
      </c>
      <c r="E52" s="133">
        <v>43675</v>
      </c>
      <c r="F52" s="133">
        <v>43724</v>
      </c>
      <c r="G52" s="133"/>
      <c r="H52" s="62">
        <v>1</v>
      </c>
      <c r="I52" s="115">
        <v>3</v>
      </c>
      <c r="J52" s="116">
        <v>1</v>
      </c>
      <c r="K52" s="116">
        <v>0</v>
      </c>
      <c r="L52" s="116">
        <v>0</v>
      </c>
      <c r="M52" s="116">
        <v>0</v>
      </c>
      <c r="N52" s="88">
        <v>12.361739509248901</v>
      </c>
      <c r="O52" s="116">
        <v>1</v>
      </c>
      <c r="P52" s="116">
        <v>2</v>
      </c>
      <c r="Q52" s="88">
        <v>2</v>
      </c>
      <c r="R52" s="88"/>
      <c r="S52" s="88">
        <v>2</v>
      </c>
      <c r="T52" s="115">
        <v>1</v>
      </c>
      <c r="U52" s="88">
        <v>17.6655918466695</v>
      </c>
      <c r="V52" s="88">
        <v>0.400147564513128</v>
      </c>
      <c r="W52" s="88">
        <v>0</v>
      </c>
      <c r="X52" s="88">
        <v>68.965517241379303</v>
      </c>
      <c r="Y52" s="88">
        <v>0</v>
      </c>
      <c r="Z52" s="88">
        <v>72.413793103448299</v>
      </c>
      <c r="AA52" s="88">
        <v>0</v>
      </c>
      <c r="AB52" s="88">
        <v>0</v>
      </c>
      <c r="AC52" s="88">
        <v>12.1660444599187</v>
      </c>
      <c r="AD52" s="116">
        <f>(373-238)/30</f>
        <v>4.5</v>
      </c>
      <c r="AE52" s="116">
        <v>25</v>
      </c>
      <c r="AF52" s="116">
        <v>4</v>
      </c>
      <c r="AG52" s="116">
        <v>4</v>
      </c>
      <c r="AH52" s="116">
        <v>0</v>
      </c>
      <c r="AI52" s="120">
        <v>0</v>
      </c>
      <c r="AJ52" s="120">
        <v>0</v>
      </c>
      <c r="AK52" s="120">
        <v>0</v>
      </c>
      <c r="AL52" s="120">
        <v>0</v>
      </c>
      <c r="AM52" s="88">
        <v>0.49512226876425702</v>
      </c>
      <c r="AN52" s="88">
        <v>19.314312944039099</v>
      </c>
      <c r="AO52" s="88">
        <v>10.9525193016059</v>
      </c>
      <c r="AP52" s="88">
        <v>5.8823529411764701</v>
      </c>
      <c r="AQ52" s="115">
        <v>0</v>
      </c>
      <c r="AR52" s="115">
        <v>0</v>
      </c>
      <c r="AS52" s="115">
        <v>4</v>
      </c>
      <c r="AT52" s="115">
        <v>1</v>
      </c>
      <c r="AU52" s="115">
        <v>1</v>
      </c>
      <c r="AV52" s="88">
        <v>1</v>
      </c>
      <c r="AW52" s="88">
        <v>1</v>
      </c>
      <c r="AX52" s="88">
        <v>0</v>
      </c>
      <c r="AY52" s="88">
        <v>0</v>
      </c>
      <c r="AZ52" s="88">
        <v>0</v>
      </c>
      <c r="BA52" s="88">
        <v>0</v>
      </c>
      <c r="BC52" s="88">
        <v>6</v>
      </c>
      <c r="BD52" s="115">
        <v>0</v>
      </c>
      <c r="BE52" s="115">
        <v>0</v>
      </c>
      <c r="BF52" s="115">
        <v>0</v>
      </c>
      <c r="BG52" s="115">
        <v>0</v>
      </c>
      <c r="BH52" s="111">
        <v>6.6998144623543601</v>
      </c>
      <c r="BI52" s="113">
        <v>0</v>
      </c>
      <c r="BJ52" s="113">
        <v>1</v>
      </c>
      <c r="BK52" s="113">
        <v>0</v>
      </c>
      <c r="BL52" s="88" t="s">
        <v>119</v>
      </c>
      <c r="BM52" s="115">
        <v>6</v>
      </c>
      <c r="BN52" s="115">
        <v>0</v>
      </c>
      <c r="BO52" s="114">
        <v>7.6955713159326598</v>
      </c>
      <c r="BP52" s="114">
        <v>0.54225284642135496</v>
      </c>
      <c r="BQ52" s="114">
        <v>16.477272727272702</v>
      </c>
      <c r="BR52" s="114">
        <v>93.181818181818201</v>
      </c>
      <c r="BS52" s="111">
        <v>1</v>
      </c>
      <c r="BT52" s="114">
        <v>38.636363636363598</v>
      </c>
      <c r="BU52" s="114">
        <v>36.764705882352899</v>
      </c>
      <c r="BV52" s="114">
        <v>3.7383177570093502</v>
      </c>
      <c r="BW52" s="88">
        <v>5.4874352372861397</v>
      </c>
      <c r="BX52" s="88">
        <v>20</v>
      </c>
      <c r="BY52" s="88">
        <v>65</v>
      </c>
      <c r="BZ52" s="88">
        <v>0</v>
      </c>
      <c r="CA52" s="88">
        <v>17</v>
      </c>
      <c r="CB52" s="88">
        <v>3</v>
      </c>
      <c r="CC52" s="88">
        <v>2</v>
      </c>
      <c r="CD52" s="88">
        <v>0</v>
      </c>
      <c r="CE52" s="88">
        <v>0</v>
      </c>
      <c r="CF52" s="88" t="s">
        <v>25</v>
      </c>
      <c r="CG52" s="88" t="s">
        <v>25</v>
      </c>
      <c r="CH52" s="88" t="s">
        <v>25</v>
      </c>
      <c r="CI52" s="88" t="s">
        <v>25</v>
      </c>
      <c r="CJ52" s="88" t="s">
        <v>25</v>
      </c>
      <c r="CK52" s="88" t="s">
        <v>25</v>
      </c>
      <c r="CL52" s="88" t="s">
        <v>25</v>
      </c>
      <c r="CM52" s="88" t="s">
        <v>25</v>
      </c>
      <c r="CN52" s="88" t="s">
        <v>25</v>
      </c>
      <c r="CO52" s="88" t="s">
        <v>25</v>
      </c>
      <c r="CP52" s="88"/>
    </row>
    <row r="53" spans="1:94" s="62" customFormat="1">
      <c r="A53" s="108" t="s">
        <v>120</v>
      </c>
      <c r="B53" s="123" t="s">
        <v>17</v>
      </c>
      <c r="C53" s="115" t="s">
        <v>107</v>
      </c>
      <c r="D53" s="123">
        <f t="shared" si="2"/>
        <v>65</v>
      </c>
      <c r="E53" s="133">
        <v>43683</v>
      </c>
      <c r="F53" s="133">
        <v>43748</v>
      </c>
      <c r="G53" s="133"/>
      <c r="H53" s="62">
        <v>1</v>
      </c>
      <c r="I53" s="115">
        <v>3</v>
      </c>
      <c r="J53" s="116">
        <v>0</v>
      </c>
      <c r="K53" s="116">
        <v>0</v>
      </c>
      <c r="L53" s="116">
        <v>0</v>
      </c>
      <c r="M53" s="116">
        <v>0</v>
      </c>
      <c r="N53" s="88">
        <v>12.5388549190234</v>
      </c>
      <c r="O53" s="116">
        <v>0</v>
      </c>
      <c r="P53" s="116">
        <v>1</v>
      </c>
      <c r="Q53" s="116">
        <v>0</v>
      </c>
      <c r="R53" s="116"/>
      <c r="S53" s="88">
        <v>3</v>
      </c>
      <c r="T53" s="115">
        <v>0</v>
      </c>
      <c r="U53" s="88">
        <v>14.9607087361982</v>
      </c>
      <c r="V53" s="88">
        <v>0.29446614057027098</v>
      </c>
      <c r="W53" s="88">
        <v>12.6582278481013</v>
      </c>
      <c r="X53" s="88">
        <v>82.278481012658204</v>
      </c>
      <c r="Y53" s="88">
        <v>0</v>
      </c>
      <c r="Z53" s="88">
        <v>50.632911392405099</v>
      </c>
      <c r="AA53" s="88">
        <v>25</v>
      </c>
      <c r="AB53" s="88">
        <v>0</v>
      </c>
      <c r="AC53" s="88">
        <v>4.3755766879577997</v>
      </c>
      <c r="AD53" s="116">
        <v>10.5</v>
      </c>
      <c r="AE53" s="116">
        <v>31</v>
      </c>
      <c r="AF53" s="116">
        <v>0.5</v>
      </c>
      <c r="AG53" s="116">
        <v>2</v>
      </c>
      <c r="AH53" s="116">
        <v>4</v>
      </c>
      <c r="AI53" s="120">
        <v>2</v>
      </c>
      <c r="AJ53" s="120">
        <v>2</v>
      </c>
      <c r="AK53" s="120">
        <v>0</v>
      </c>
      <c r="AL53" s="120">
        <v>2</v>
      </c>
      <c r="AM53" s="88">
        <v>0.441382343387347</v>
      </c>
      <c r="AN53" s="88">
        <v>19.9183677634418</v>
      </c>
      <c r="AO53" s="88">
        <v>4.1799138088697996</v>
      </c>
      <c r="AP53" s="88">
        <v>30.5993690851735</v>
      </c>
      <c r="AQ53" s="115">
        <v>1</v>
      </c>
      <c r="AR53" s="115">
        <v>1</v>
      </c>
      <c r="AS53" s="115">
        <v>14</v>
      </c>
      <c r="AT53" s="115">
        <v>2</v>
      </c>
      <c r="AU53" s="115">
        <v>1</v>
      </c>
      <c r="AV53" s="88">
        <v>3</v>
      </c>
      <c r="AW53" s="88">
        <v>0</v>
      </c>
      <c r="AX53" s="88">
        <v>0</v>
      </c>
      <c r="AY53" s="88">
        <v>1</v>
      </c>
      <c r="AZ53" s="88">
        <v>2</v>
      </c>
      <c r="BA53" s="88">
        <v>0</v>
      </c>
      <c r="BC53" s="88">
        <v>261</v>
      </c>
      <c r="BD53" s="115">
        <v>19</v>
      </c>
      <c r="BE53" s="115">
        <v>18</v>
      </c>
      <c r="BF53" s="115">
        <v>6</v>
      </c>
      <c r="BG53" s="115">
        <v>1</v>
      </c>
      <c r="BH53" s="111">
        <v>8.1859375847455098</v>
      </c>
      <c r="BI53" s="113">
        <v>3</v>
      </c>
      <c r="BJ53" s="113">
        <v>2</v>
      </c>
      <c r="BK53" s="113">
        <v>0</v>
      </c>
      <c r="BL53" s="88" t="s">
        <v>121</v>
      </c>
      <c r="BM53" s="115">
        <v>1</v>
      </c>
      <c r="BN53" s="115">
        <v>21</v>
      </c>
      <c r="BO53" s="114">
        <v>15.2990474350296</v>
      </c>
      <c r="BP53" s="114">
        <v>17.983562684164099</v>
      </c>
      <c r="BQ53" s="114">
        <v>31.480771687747499</v>
      </c>
      <c r="BR53" s="114">
        <v>61.786124952088898</v>
      </c>
      <c r="BS53" s="111">
        <v>24</v>
      </c>
      <c r="BT53" s="114">
        <v>41.893445764660797</v>
      </c>
      <c r="BU53" s="114">
        <v>30.100640439158301</v>
      </c>
      <c r="BV53" s="114">
        <v>32.490101187857498</v>
      </c>
      <c r="BW53" s="88">
        <v>10.465524749022601</v>
      </c>
      <c r="BX53" s="88">
        <v>2</v>
      </c>
      <c r="BY53" s="88">
        <v>296</v>
      </c>
      <c r="BZ53" s="88">
        <v>0.5</v>
      </c>
      <c r="CA53" s="88">
        <v>1</v>
      </c>
      <c r="CB53" s="88">
        <v>3</v>
      </c>
      <c r="CC53" s="88">
        <v>3</v>
      </c>
      <c r="CD53" s="88">
        <v>0</v>
      </c>
      <c r="CE53" s="88">
        <v>0</v>
      </c>
      <c r="CF53" s="88">
        <v>11.300309597523199</v>
      </c>
      <c r="CG53" s="88">
        <v>82.972136222910194</v>
      </c>
      <c r="CH53" s="88">
        <v>0</v>
      </c>
      <c r="CI53" s="88">
        <v>59.442724458204303</v>
      </c>
      <c r="CJ53" s="88">
        <v>10.15625</v>
      </c>
      <c r="CK53" s="88">
        <v>12.9770992366412</v>
      </c>
      <c r="CL53" s="88" t="s">
        <v>398</v>
      </c>
      <c r="CM53" s="88" t="s">
        <v>399</v>
      </c>
      <c r="CN53" s="88" t="s">
        <v>400</v>
      </c>
      <c r="CO53" s="88" t="s">
        <v>401</v>
      </c>
      <c r="CP53" s="88"/>
    </row>
    <row r="54" spans="1:94" s="62" customFormat="1">
      <c r="A54" s="108" t="s">
        <v>122</v>
      </c>
      <c r="B54" s="123" t="s">
        <v>41</v>
      </c>
      <c r="C54" s="115" t="s">
        <v>70</v>
      </c>
      <c r="D54" s="123">
        <f t="shared" si="2"/>
        <v>70</v>
      </c>
      <c r="E54" s="133">
        <v>43703</v>
      </c>
      <c r="F54" s="133">
        <v>43773</v>
      </c>
      <c r="G54" s="133"/>
      <c r="H54" s="62">
        <v>1</v>
      </c>
      <c r="I54" s="115">
        <v>7</v>
      </c>
      <c r="J54" s="116">
        <v>0</v>
      </c>
      <c r="K54" s="116">
        <v>0</v>
      </c>
      <c r="L54" s="116">
        <v>0</v>
      </c>
      <c r="M54" s="116">
        <v>0</v>
      </c>
      <c r="N54" s="88">
        <v>2.8169627818384599</v>
      </c>
      <c r="O54" s="116">
        <v>1</v>
      </c>
      <c r="P54" s="116">
        <v>1</v>
      </c>
      <c r="Q54" s="116">
        <v>0</v>
      </c>
      <c r="R54" s="116"/>
      <c r="S54" s="88">
        <v>4</v>
      </c>
      <c r="T54" s="115">
        <v>0</v>
      </c>
      <c r="U54" s="88">
        <v>3.3622397067569798</v>
      </c>
      <c r="V54" s="88">
        <v>0.28898510698139501</v>
      </c>
      <c r="W54" s="88">
        <v>33.760683760683797</v>
      </c>
      <c r="X54" s="88">
        <v>82.051282051282101</v>
      </c>
      <c r="Y54" s="88">
        <v>0</v>
      </c>
      <c r="Z54" s="88">
        <v>97.863247863247906</v>
      </c>
      <c r="AA54" s="88">
        <v>34.497816593886498</v>
      </c>
      <c r="AB54" s="88">
        <v>0</v>
      </c>
      <c r="AC54" s="88">
        <v>2.3373720756192702</v>
      </c>
      <c r="AD54" s="116">
        <f>2430/30</f>
        <v>81</v>
      </c>
      <c r="AE54" s="116">
        <v>118</v>
      </c>
      <c r="AF54" s="116">
        <v>3</v>
      </c>
      <c r="AG54" s="116">
        <v>5</v>
      </c>
      <c r="AH54" s="116">
        <v>16</v>
      </c>
      <c r="AI54" s="120">
        <v>2</v>
      </c>
      <c r="AJ54" s="120">
        <v>0</v>
      </c>
      <c r="AK54" s="120">
        <v>7</v>
      </c>
      <c r="AL54" s="120">
        <v>0</v>
      </c>
      <c r="AM54" s="88">
        <v>1.59794150375273</v>
      </c>
      <c r="AN54" s="88">
        <v>16.770076791095999</v>
      </c>
      <c r="AO54" s="88">
        <v>1.9733274964001799</v>
      </c>
      <c r="AP54" s="88">
        <v>75.976964212258295</v>
      </c>
      <c r="AQ54" s="115">
        <v>1</v>
      </c>
      <c r="AR54" s="115">
        <v>1</v>
      </c>
      <c r="AS54" s="115">
        <v>0</v>
      </c>
      <c r="AT54" s="115">
        <v>12</v>
      </c>
      <c r="AU54" s="115">
        <v>1</v>
      </c>
      <c r="AV54" s="88">
        <v>7</v>
      </c>
      <c r="AW54" s="88">
        <v>1</v>
      </c>
      <c r="AX54" s="88">
        <v>0</v>
      </c>
      <c r="AY54" s="88">
        <v>0</v>
      </c>
      <c r="AZ54" s="88">
        <v>4</v>
      </c>
      <c r="BA54" s="88">
        <v>2</v>
      </c>
      <c r="BC54" s="88">
        <f>8*60+15</f>
        <v>495</v>
      </c>
      <c r="BD54" s="115">
        <v>14</v>
      </c>
      <c r="BE54" s="115">
        <v>12</v>
      </c>
      <c r="BF54" s="115">
        <v>1</v>
      </c>
      <c r="BG54" s="115">
        <v>5</v>
      </c>
      <c r="BH54" s="111">
        <v>5.6646427766288401</v>
      </c>
      <c r="BI54" s="113">
        <v>3</v>
      </c>
      <c r="BJ54" s="113">
        <v>3</v>
      </c>
      <c r="BK54" s="113">
        <v>1</v>
      </c>
      <c r="BL54" s="88" t="s">
        <v>123</v>
      </c>
      <c r="BM54" s="115">
        <v>6.5</v>
      </c>
      <c r="BN54" s="115">
        <v>20</v>
      </c>
      <c r="BO54" s="114">
        <v>7.8932287449826903</v>
      </c>
      <c r="BP54" s="114">
        <v>17.789116301339401</v>
      </c>
      <c r="BQ54" s="114">
        <v>57.283451297607002</v>
      </c>
      <c r="BR54" s="114">
        <v>42.3525446579036</v>
      </c>
      <c r="BS54" s="111">
        <v>37</v>
      </c>
      <c r="BT54" s="114">
        <v>36.461071789686599</v>
      </c>
      <c r="BU54" s="114">
        <v>53.4479571085228</v>
      </c>
      <c r="BV54" s="114">
        <v>59.484404837683002</v>
      </c>
      <c r="BW54" s="88">
        <v>6.2013050252196997</v>
      </c>
      <c r="BX54" s="88">
        <v>4</v>
      </c>
      <c r="BY54" s="88">
        <f>8*60+32</f>
        <v>512</v>
      </c>
      <c r="BZ54" s="88">
        <v>1.5</v>
      </c>
      <c r="CA54" s="88">
        <v>2</v>
      </c>
      <c r="CB54" s="88">
        <v>2</v>
      </c>
      <c r="CC54" s="88">
        <v>2</v>
      </c>
      <c r="CD54" s="88">
        <v>0</v>
      </c>
      <c r="CE54" s="88">
        <v>0</v>
      </c>
      <c r="CF54" s="88">
        <v>37.322175732217602</v>
      </c>
      <c r="CG54" s="88">
        <v>78.158995815899601</v>
      </c>
      <c r="CH54" s="88">
        <v>1</v>
      </c>
      <c r="CI54" s="88">
        <v>40</v>
      </c>
      <c r="CJ54" s="88">
        <v>32.426778242677798</v>
      </c>
      <c r="CK54" s="88">
        <v>40.5857740585774</v>
      </c>
      <c r="CL54" s="88" t="s">
        <v>402</v>
      </c>
      <c r="CM54" s="88" t="s">
        <v>403</v>
      </c>
      <c r="CN54" s="88" t="s">
        <v>404</v>
      </c>
      <c r="CO54" s="88" t="s">
        <v>405</v>
      </c>
      <c r="CP54" s="88"/>
    </row>
    <row r="55" spans="1:94" s="62" customFormat="1">
      <c r="A55" s="108" t="s">
        <v>124</v>
      </c>
      <c r="B55" s="123" t="s">
        <v>41</v>
      </c>
      <c r="C55" s="115" t="s">
        <v>70</v>
      </c>
      <c r="D55" s="123">
        <f t="shared" si="2"/>
        <v>70</v>
      </c>
      <c r="E55" s="133">
        <v>43703</v>
      </c>
      <c r="F55" s="133">
        <v>43773</v>
      </c>
      <c r="G55" s="133"/>
      <c r="H55" s="62">
        <v>1</v>
      </c>
      <c r="I55" s="136">
        <v>99</v>
      </c>
      <c r="J55" s="118">
        <v>5</v>
      </c>
      <c r="K55" s="118">
        <v>2</v>
      </c>
      <c r="L55" s="116">
        <v>0</v>
      </c>
      <c r="M55" s="116">
        <v>1</v>
      </c>
      <c r="N55" s="88">
        <v>6.08057920589075</v>
      </c>
      <c r="O55" s="116">
        <v>3</v>
      </c>
      <c r="P55" s="116">
        <v>3</v>
      </c>
      <c r="Q55" s="116">
        <v>0</v>
      </c>
      <c r="R55" s="116"/>
      <c r="S55" s="125">
        <v>9</v>
      </c>
      <c r="T55" s="143">
        <v>5</v>
      </c>
      <c r="U55" s="125">
        <v>17.393401640305601</v>
      </c>
      <c r="V55" s="125">
        <v>5.0576188927189598</v>
      </c>
      <c r="W55" s="125">
        <v>38.404327248140604</v>
      </c>
      <c r="X55" s="125">
        <v>60.480054090601797</v>
      </c>
      <c r="Y55" s="125">
        <v>7</v>
      </c>
      <c r="Z55" s="125">
        <v>57.471264367816097</v>
      </c>
      <c r="AA55" s="125">
        <v>44.176470588235297</v>
      </c>
      <c r="AB55" s="125">
        <v>30.604133545309999</v>
      </c>
      <c r="AC55" s="88">
        <v>3.8147528498369399</v>
      </c>
      <c r="AD55" s="116">
        <v>12</v>
      </c>
      <c r="AE55" s="116">
        <v>136</v>
      </c>
      <c r="AF55" s="116">
        <v>0</v>
      </c>
      <c r="AG55" s="116">
        <v>1</v>
      </c>
      <c r="AH55" s="116">
        <v>10</v>
      </c>
      <c r="AI55" s="120">
        <v>3</v>
      </c>
      <c r="AJ55" s="120">
        <v>3</v>
      </c>
      <c r="AK55" s="120">
        <v>0</v>
      </c>
      <c r="AL55" s="120">
        <v>0</v>
      </c>
      <c r="AM55" s="88">
        <v>0.67125134352529803</v>
      </c>
      <c r="AN55" s="88">
        <v>22.851635129855801</v>
      </c>
      <c r="AO55" s="88">
        <v>5.56588037544212</v>
      </c>
      <c r="AP55" s="88">
        <v>29.005524861878499</v>
      </c>
      <c r="AQ55" s="115">
        <v>0</v>
      </c>
      <c r="AR55" s="115">
        <v>0</v>
      </c>
      <c r="AS55" s="115">
        <v>2</v>
      </c>
      <c r="AT55" s="115">
        <v>9</v>
      </c>
      <c r="AU55" s="115">
        <v>4</v>
      </c>
      <c r="AV55" s="88">
        <v>4</v>
      </c>
      <c r="AW55" s="88">
        <v>0</v>
      </c>
      <c r="AX55" s="88">
        <v>0</v>
      </c>
      <c r="AY55" s="88">
        <v>0</v>
      </c>
      <c r="AZ55" s="88">
        <v>4</v>
      </c>
      <c r="BA55" s="88">
        <v>0</v>
      </c>
      <c r="BC55" s="88">
        <v>415</v>
      </c>
      <c r="BD55" s="115">
        <v>13</v>
      </c>
      <c r="BE55" s="115">
        <v>13</v>
      </c>
      <c r="BF55" s="115">
        <v>2</v>
      </c>
      <c r="BG55" s="115">
        <v>10</v>
      </c>
      <c r="BH55" s="111">
        <v>3.3071933754833598</v>
      </c>
      <c r="BI55" s="113">
        <v>3</v>
      </c>
      <c r="BJ55" s="113">
        <v>3</v>
      </c>
      <c r="BK55" s="113">
        <v>2</v>
      </c>
      <c r="BL55" s="88" t="s">
        <v>125</v>
      </c>
      <c r="BM55" s="115">
        <v>3</v>
      </c>
      <c r="BN55" s="115">
        <v>23</v>
      </c>
      <c r="BO55" s="114">
        <v>11.7947305909285</v>
      </c>
      <c r="BP55" s="114">
        <v>14.6790946926657</v>
      </c>
      <c r="BQ55" s="114">
        <v>53.966597077244302</v>
      </c>
      <c r="BR55" s="114">
        <v>45.150152561426097</v>
      </c>
      <c r="BS55" s="111">
        <v>26</v>
      </c>
      <c r="BT55" s="114">
        <v>47.149510197526901</v>
      </c>
      <c r="BU55" s="114">
        <v>51.175068119891002</v>
      </c>
      <c r="BV55" s="114">
        <v>56.457003950167099</v>
      </c>
      <c r="BW55" s="88">
        <v>6.8089242943725097</v>
      </c>
      <c r="BX55" s="88">
        <v>7</v>
      </c>
      <c r="BY55" s="88">
        <f>7*60+17</f>
        <v>437</v>
      </c>
      <c r="BZ55" s="88">
        <v>4</v>
      </c>
      <c r="CA55" s="88">
        <v>1</v>
      </c>
      <c r="CB55" s="88">
        <v>2</v>
      </c>
      <c r="CC55" s="88">
        <v>1</v>
      </c>
      <c r="CD55" s="88">
        <v>0</v>
      </c>
      <c r="CE55" s="88">
        <v>0</v>
      </c>
      <c r="CF55" s="88">
        <v>42.878228782287799</v>
      </c>
      <c r="CG55" s="88">
        <v>81.033210332103295</v>
      </c>
      <c r="CH55" s="88">
        <v>1</v>
      </c>
      <c r="CI55" s="88">
        <v>41.697416974169698</v>
      </c>
      <c r="CJ55" s="88">
        <v>31.327433628318602</v>
      </c>
      <c r="CK55" s="88">
        <v>51.139240506329102</v>
      </c>
      <c r="CL55" s="88" t="s">
        <v>406</v>
      </c>
      <c r="CM55" s="88" t="s">
        <v>407</v>
      </c>
      <c r="CN55" s="88" t="s">
        <v>408</v>
      </c>
      <c r="CO55" s="88" t="s">
        <v>409</v>
      </c>
      <c r="CP55" s="88"/>
    </row>
    <row r="56" spans="1:94" s="62" customFormat="1">
      <c r="A56" s="108" t="s">
        <v>47</v>
      </c>
      <c r="B56" s="123" t="s">
        <v>41</v>
      </c>
      <c r="C56" s="115" t="s">
        <v>77</v>
      </c>
      <c r="D56" s="123">
        <f t="shared" si="2"/>
        <v>64</v>
      </c>
      <c r="E56" s="133">
        <v>44062</v>
      </c>
      <c r="F56" s="133">
        <v>44126</v>
      </c>
      <c r="G56" s="133"/>
      <c r="H56" s="62">
        <v>1</v>
      </c>
      <c r="I56" s="115">
        <v>6</v>
      </c>
      <c r="J56" s="116">
        <v>0</v>
      </c>
      <c r="K56" s="116">
        <v>0</v>
      </c>
      <c r="L56" s="116">
        <v>0</v>
      </c>
      <c r="M56" s="116">
        <v>0</v>
      </c>
      <c r="N56" s="88">
        <v>10.7235428410377</v>
      </c>
      <c r="O56" s="116">
        <v>0</v>
      </c>
      <c r="P56" s="116">
        <v>2</v>
      </c>
      <c r="Q56" s="116">
        <v>0</v>
      </c>
      <c r="R56" s="116"/>
      <c r="S56" s="88">
        <v>5</v>
      </c>
      <c r="T56" s="115">
        <v>0</v>
      </c>
      <c r="U56" s="88">
        <v>6.7324364761252298</v>
      </c>
      <c r="V56" s="88">
        <v>0.385421446608055</v>
      </c>
      <c r="W56" s="88">
        <v>9.3525179856115095</v>
      </c>
      <c r="X56" s="88">
        <v>100</v>
      </c>
      <c r="Y56" s="88">
        <v>0</v>
      </c>
      <c r="Z56" s="88">
        <v>33.093525179856101</v>
      </c>
      <c r="AA56" s="88">
        <v>4.3478260869565197</v>
      </c>
      <c r="AB56" s="88">
        <v>11.8279569892473</v>
      </c>
      <c r="AC56" s="88">
        <v>5.0079418468358199</v>
      </c>
      <c r="AD56" s="116">
        <v>2</v>
      </c>
      <c r="AE56" s="116">
        <v>34</v>
      </c>
      <c r="AF56" s="116">
        <v>0</v>
      </c>
      <c r="AG56" s="116">
        <v>0.5</v>
      </c>
      <c r="AH56" s="116">
        <v>1</v>
      </c>
      <c r="AI56" s="120">
        <v>2</v>
      </c>
      <c r="AJ56" s="120">
        <v>2</v>
      </c>
      <c r="AK56" s="120">
        <v>0</v>
      </c>
      <c r="AL56" s="120">
        <v>0</v>
      </c>
      <c r="AM56" s="88">
        <v>4.5005380539265803E-2</v>
      </c>
      <c r="AN56" s="88">
        <v>6.7822036429618198</v>
      </c>
      <c r="AO56" s="88">
        <v>1.9068961550940899</v>
      </c>
      <c r="AP56" s="88">
        <v>61.971830985915503</v>
      </c>
      <c r="AQ56" s="115">
        <v>1</v>
      </c>
      <c r="AR56" s="115">
        <v>1</v>
      </c>
      <c r="AS56" s="115">
        <v>9</v>
      </c>
      <c r="AT56" s="115">
        <v>6</v>
      </c>
      <c r="AU56" s="115">
        <v>2</v>
      </c>
      <c r="AV56" s="88">
        <v>2</v>
      </c>
      <c r="AW56" s="88">
        <v>0</v>
      </c>
      <c r="AX56" s="88">
        <v>2</v>
      </c>
      <c r="AY56" s="88">
        <v>0</v>
      </c>
      <c r="AZ56" s="88">
        <v>0</v>
      </c>
      <c r="BA56" s="88">
        <v>0</v>
      </c>
      <c r="BC56" s="88">
        <v>600</v>
      </c>
      <c r="BD56" s="115">
        <v>15</v>
      </c>
      <c r="BE56" s="115">
        <v>15</v>
      </c>
      <c r="BF56" s="115">
        <v>3</v>
      </c>
      <c r="BG56" s="115">
        <v>6</v>
      </c>
      <c r="BH56" s="111" t="s">
        <v>25</v>
      </c>
      <c r="BI56" s="113">
        <v>5</v>
      </c>
      <c r="BJ56" s="113">
        <v>5</v>
      </c>
      <c r="BK56" s="113">
        <v>5</v>
      </c>
      <c r="BL56" s="88" t="s">
        <v>26</v>
      </c>
      <c r="BM56" s="115">
        <v>3</v>
      </c>
      <c r="BN56" s="115">
        <v>21</v>
      </c>
      <c r="BO56" s="114">
        <v>7.3561155918026602</v>
      </c>
      <c r="BP56" s="114">
        <v>18.8928822959986</v>
      </c>
      <c r="BQ56" s="114">
        <v>62.362196000221601</v>
      </c>
      <c r="BR56" s="114">
        <v>82.422026480527407</v>
      </c>
      <c r="BS56" s="111">
        <v>15</v>
      </c>
      <c r="BT56" s="114">
        <v>35.870588887042302</v>
      </c>
      <c r="BU56" s="114">
        <v>55.552123552123597</v>
      </c>
      <c r="BV56" s="114">
        <v>66.171389080856898</v>
      </c>
      <c r="BW56" s="88" t="s">
        <v>25</v>
      </c>
      <c r="BX56" s="88" t="s">
        <v>25</v>
      </c>
      <c r="BY56" s="88" t="s">
        <v>25</v>
      </c>
      <c r="BZ56" s="88" t="s">
        <v>25</v>
      </c>
      <c r="CA56" s="88" t="s">
        <v>25</v>
      </c>
      <c r="CB56" s="88" t="s">
        <v>25</v>
      </c>
      <c r="CC56" s="88" t="s">
        <v>25</v>
      </c>
      <c r="CD56" s="88" t="s">
        <v>25</v>
      </c>
      <c r="CE56" s="88" t="s">
        <v>25</v>
      </c>
      <c r="CF56" s="88">
        <v>40.363349131121602</v>
      </c>
      <c r="CG56" s="88">
        <v>94.6287519747235</v>
      </c>
      <c r="CH56" s="88">
        <v>0</v>
      </c>
      <c r="CI56" s="88">
        <v>22.748815165876799</v>
      </c>
      <c r="CJ56" s="88">
        <v>16.3194444444444</v>
      </c>
      <c r="CK56" s="88">
        <v>47.443762781186102</v>
      </c>
      <c r="CL56" s="88">
        <v>0</v>
      </c>
      <c r="CM56" s="88" t="s">
        <v>410</v>
      </c>
      <c r="CN56" s="88" t="s">
        <v>411</v>
      </c>
      <c r="CO56" s="88" t="s">
        <v>412</v>
      </c>
      <c r="CP56" s="88"/>
    </row>
    <row r="57" spans="1:94" s="62" customFormat="1">
      <c r="A57" s="108" t="s">
        <v>126</v>
      </c>
      <c r="B57" s="123" t="s">
        <v>41</v>
      </c>
      <c r="C57" s="115" t="s">
        <v>77</v>
      </c>
      <c r="D57" s="123">
        <f t="shared" si="2"/>
        <v>64</v>
      </c>
      <c r="E57" s="133">
        <v>44062</v>
      </c>
      <c r="F57" s="133">
        <v>44126</v>
      </c>
      <c r="G57" s="133"/>
      <c r="H57" s="62">
        <v>1</v>
      </c>
      <c r="I57" s="115">
        <v>7</v>
      </c>
      <c r="J57" s="116">
        <v>0</v>
      </c>
      <c r="K57" s="116">
        <v>0</v>
      </c>
      <c r="L57" s="116">
        <v>0</v>
      </c>
      <c r="M57" s="116">
        <v>0</v>
      </c>
      <c r="N57" s="88">
        <v>12.301153285249899</v>
      </c>
      <c r="O57" s="116">
        <v>0</v>
      </c>
      <c r="P57" s="116">
        <v>1</v>
      </c>
      <c r="Q57" s="116">
        <v>0</v>
      </c>
      <c r="R57" s="116"/>
      <c r="S57" s="88">
        <v>7</v>
      </c>
      <c r="T57" s="115">
        <v>0</v>
      </c>
      <c r="U57" s="88">
        <v>6.8696188210482001</v>
      </c>
      <c r="V57" s="88">
        <v>0.61863189533565599</v>
      </c>
      <c r="W57" s="88">
        <v>19.6172248803828</v>
      </c>
      <c r="X57" s="88">
        <v>100</v>
      </c>
      <c r="Y57" s="88">
        <v>0</v>
      </c>
      <c r="Z57" s="88">
        <v>19.6172248803828</v>
      </c>
      <c r="AA57" s="88">
        <v>26.829268292682901</v>
      </c>
      <c r="AB57" s="88">
        <v>17.8571428571429</v>
      </c>
      <c r="AC57" s="88">
        <v>4.7229687899622199</v>
      </c>
      <c r="AD57" s="116">
        <f>870/30</f>
        <v>29</v>
      </c>
      <c r="AE57" s="116">
        <v>53</v>
      </c>
      <c r="AF57" s="116">
        <v>2</v>
      </c>
      <c r="AG57" s="116">
        <v>3</v>
      </c>
      <c r="AH57" s="116">
        <v>13</v>
      </c>
      <c r="AI57" s="120">
        <v>3</v>
      </c>
      <c r="AJ57" s="120">
        <v>3</v>
      </c>
      <c r="AK57" s="120">
        <v>0</v>
      </c>
      <c r="AL57" s="120">
        <v>0</v>
      </c>
      <c r="AM57" s="88">
        <v>2.1865861176500401</v>
      </c>
      <c r="AN57" s="88">
        <v>33.767226833396599</v>
      </c>
      <c r="AO57" s="88">
        <v>7.5526291207579304</v>
      </c>
      <c r="AP57" s="88">
        <v>29.965556831228501</v>
      </c>
      <c r="AQ57" s="115">
        <v>2</v>
      </c>
      <c r="AR57" s="115">
        <v>0</v>
      </c>
      <c r="AS57" s="115">
        <v>9</v>
      </c>
      <c r="AT57" s="115">
        <v>2</v>
      </c>
      <c r="AU57" s="115">
        <v>1</v>
      </c>
      <c r="AV57" s="88">
        <v>7</v>
      </c>
      <c r="AW57" s="88">
        <v>0</v>
      </c>
      <c r="AX57" s="88">
        <v>1</v>
      </c>
      <c r="AY57" s="88">
        <v>0</v>
      </c>
      <c r="AZ57" s="88">
        <v>6</v>
      </c>
      <c r="BA57" s="88">
        <v>0</v>
      </c>
      <c r="BC57" s="88">
        <v>101</v>
      </c>
      <c r="BD57" s="115">
        <v>4</v>
      </c>
      <c r="BE57" s="115">
        <v>5</v>
      </c>
      <c r="BF57" s="115">
        <v>0</v>
      </c>
      <c r="BG57" s="115">
        <v>0</v>
      </c>
      <c r="BH57" s="111">
        <v>6.02645617284323</v>
      </c>
      <c r="BI57" s="113">
        <v>2</v>
      </c>
      <c r="BJ57" s="113">
        <v>3</v>
      </c>
      <c r="BK57" s="113">
        <v>0</v>
      </c>
      <c r="BL57" s="88" t="s">
        <v>127</v>
      </c>
      <c r="BM57" s="115">
        <v>2</v>
      </c>
      <c r="BN57" s="115">
        <v>5</v>
      </c>
      <c r="BO57" s="114">
        <v>9.7020046177546693</v>
      </c>
      <c r="BP57" s="114">
        <v>5.3841832769311999</v>
      </c>
      <c r="BQ57" s="114">
        <v>45.164506480558302</v>
      </c>
      <c r="BR57" s="114">
        <v>89.431704885344004</v>
      </c>
      <c r="BS57" s="111">
        <v>4</v>
      </c>
      <c r="BT57" s="114">
        <v>51.312728481222997</v>
      </c>
      <c r="BU57" s="114">
        <v>44.235751295336797</v>
      </c>
      <c r="BV57" s="114">
        <v>46.143344709897598</v>
      </c>
      <c r="BW57" s="88">
        <v>9.29841905292243</v>
      </c>
      <c r="BX57" s="88">
        <v>5</v>
      </c>
      <c r="BY57" s="88">
        <v>120</v>
      </c>
      <c r="BZ57" s="88">
        <v>0</v>
      </c>
      <c r="CA57" s="88">
        <v>3</v>
      </c>
      <c r="CB57" s="88">
        <v>3</v>
      </c>
      <c r="CC57" s="88">
        <v>3</v>
      </c>
      <c r="CD57" s="88">
        <v>0</v>
      </c>
      <c r="CE57" s="88">
        <v>0</v>
      </c>
      <c r="CF57" s="88">
        <v>22.614840989399301</v>
      </c>
      <c r="CG57" s="88">
        <v>80.447585394581907</v>
      </c>
      <c r="CH57" s="88">
        <v>1</v>
      </c>
      <c r="CI57" s="88">
        <v>67.726737338044799</v>
      </c>
      <c r="CJ57" s="88">
        <v>30.260869565217401</v>
      </c>
      <c r="CK57" s="88">
        <v>6.5693430656934302</v>
      </c>
      <c r="CL57" s="88">
        <v>0</v>
      </c>
      <c r="CM57" s="88" t="s">
        <v>413</v>
      </c>
      <c r="CN57" s="88" t="s">
        <v>414</v>
      </c>
      <c r="CO57" s="88" t="s">
        <v>415</v>
      </c>
      <c r="CP57" s="88"/>
    </row>
    <row r="58" spans="1:94" s="62" customFormat="1">
      <c r="A58" s="108" t="s">
        <v>128</v>
      </c>
      <c r="B58" s="123" t="s">
        <v>17</v>
      </c>
      <c r="C58" s="115" t="s">
        <v>77</v>
      </c>
      <c r="D58" s="123">
        <f t="shared" si="2"/>
        <v>64</v>
      </c>
      <c r="E58" s="133">
        <v>44062</v>
      </c>
      <c r="F58" s="133">
        <v>44126</v>
      </c>
      <c r="G58" s="133"/>
      <c r="H58" s="62">
        <v>1</v>
      </c>
      <c r="I58" s="115">
        <v>5</v>
      </c>
      <c r="J58" s="116">
        <v>0</v>
      </c>
      <c r="K58" s="116">
        <v>0</v>
      </c>
      <c r="L58" s="116">
        <v>0</v>
      </c>
      <c r="M58" s="116">
        <v>0</v>
      </c>
      <c r="N58" s="88">
        <v>8.6107904797130406</v>
      </c>
      <c r="O58" s="116">
        <v>0</v>
      </c>
      <c r="P58" s="116">
        <v>2</v>
      </c>
      <c r="Q58" s="116">
        <v>0</v>
      </c>
      <c r="R58" s="116"/>
      <c r="S58" s="88">
        <v>5</v>
      </c>
      <c r="T58" s="115">
        <v>0</v>
      </c>
      <c r="U58" s="88">
        <v>6.4721395368998902</v>
      </c>
      <c r="V58" s="88">
        <v>0.29113912808494002</v>
      </c>
      <c r="W58" s="88">
        <v>14.0350877192982</v>
      </c>
      <c r="X58" s="88">
        <v>100</v>
      </c>
      <c r="Y58" s="88">
        <v>0</v>
      </c>
      <c r="Z58" s="88">
        <v>46.491228070175403</v>
      </c>
      <c r="AA58" s="88">
        <v>26.415094339622598</v>
      </c>
      <c r="AB58" s="88">
        <v>3.27868852459016</v>
      </c>
      <c r="AC58" s="88">
        <v>4.2679630437814797</v>
      </c>
      <c r="AD58" s="116">
        <v>17</v>
      </c>
      <c r="AE58" s="116">
        <v>34</v>
      </c>
      <c r="AF58" s="116">
        <v>0</v>
      </c>
      <c r="AG58" s="116">
        <v>0</v>
      </c>
      <c r="AH58" s="116">
        <v>5</v>
      </c>
      <c r="AI58" s="120">
        <v>3</v>
      </c>
      <c r="AJ58" s="120">
        <v>1</v>
      </c>
      <c r="AK58" s="120">
        <v>2</v>
      </c>
      <c r="AL58" s="120">
        <v>2</v>
      </c>
      <c r="AM58" s="88">
        <v>1.14881865245438</v>
      </c>
      <c r="AN58" s="88">
        <v>33.635508866159498</v>
      </c>
      <c r="AO58" s="88">
        <v>6.8844284178935897</v>
      </c>
      <c r="AP58" s="88">
        <v>42.231075697211203</v>
      </c>
      <c r="AQ58" s="115">
        <v>1</v>
      </c>
      <c r="AR58" s="115">
        <v>0</v>
      </c>
      <c r="AS58" s="115">
        <v>8</v>
      </c>
      <c r="AT58" s="115">
        <v>0</v>
      </c>
      <c r="AU58" s="115">
        <v>1</v>
      </c>
      <c r="AV58" s="88">
        <v>3</v>
      </c>
      <c r="AW58" s="88">
        <v>0</v>
      </c>
      <c r="AX58" s="88">
        <v>0</v>
      </c>
      <c r="AY58" s="88">
        <v>0</v>
      </c>
      <c r="AZ58" s="88">
        <v>3</v>
      </c>
      <c r="BA58" s="88">
        <v>0</v>
      </c>
      <c r="BC58" s="88">
        <v>5</v>
      </c>
      <c r="BD58" s="115">
        <v>0</v>
      </c>
      <c r="BE58" s="115">
        <v>0</v>
      </c>
      <c r="BF58" s="115">
        <v>0</v>
      </c>
      <c r="BG58" s="115">
        <v>0</v>
      </c>
      <c r="BH58" s="111">
        <v>8.7337676685172099</v>
      </c>
      <c r="BI58" s="113">
        <v>0</v>
      </c>
      <c r="BJ58" s="113">
        <v>1</v>
      </c>
      <c r="BK58" s="113">
        <v>0</v>
      </c>
      <c r="BL58" s="88" t="s">
        <v>129</v>
      </c>
      <c r="BM58" s="115">
        <v>5</v>
      </c>
      <c r="BN58" s="115">
        <v>0</v>
      </c>
      <c r="BO58" s="114">
        <v>10.0398437106402</v>
      </c>
      <c r="BP58" s="114">
        <v>0.49155637157459298</v>
      </c>
      <c r="BQ58" s="114">
        <v>26.174496644295299</v>
      </c>
      <c r="BR58" s="114">
        <v>82.550335570469798</v>
      </c>
      <c r="BS58" s="111">
        <v>1</v>
      </c>
      <c r="BT58" s="114">
        <v>58.389261744966397</v>
      </c>
      <c r="BU58" s="114">
        <v>16.091954022988499</v>
      </c>
      <c r="BV58" s="114">
        <v>40.322580645161302</v>
      </c>
      <c r="BW58" s="88">
        <v>5.7920005188776598</v>
      </c>
      <c r="BX58" s="88">
        <v>1</v>
      </c>
      <c r="BY58" s="88">
        <v>75</v>
      </c>
      <c r="BZ58" s="88">
        <v>0</v>
      </c>
      <c r="CA58" s="88">
        <v>1</v>
      </c>
      <c r="CB58" s="88">
        <v>2</v>
      </c>
      <c r="CC58" s="88">
        <v>1</v>
      </c>
      <c r="CD58" s="88">
        <v>0</v>
      </c>
      <c r="CE58" s="88">
        <v>0</v>
      </c>
      <c r="CF58" s="88" t="s">
        <v>25</v>
      </c>
      <c r="CG58" s="88" t="s">
        <v>25</v>
      </c>
      <c r="CH58" s="88" t="s">
        <v>25</v>
      </c>
      <c r="CI58" s="88" t="s">
        <v>25</v>
      </c>
      <c r="CJ58" s="88" t="s">
        <v>25</v>
      </c>
      <c r="CK58" s="88" t="s">
        <v>25</v>
      </c>
      <c r="CL58" s="88" t="s">
        <v>25</v>
      </c>
      <c r="CM58" s="88" t="s">
        <v>25</v>
      </c>
      <c r="CN58" s="88" t="s">
        <v>25</v>
      </c>
      <c r="CO58" s="88" t="s">
        <v>25</v>
      </c>
      <c r="CP58" s="88"/>
    </row>
    <row r="59" spans="1:94" s="62" customFormat="1">
      <c r="A59" s="144" t="s">
        <v>130</v>
      </c>
      <c r="B59" s="117" t="s">
        <v>41</v>
      </c>
      <c r="C59" s="117" t="s">
        <v>70</v>
      </c>
      <c r="D59" s="139">
        <f>F59-E59</f>
        <v>49</v>
      </c>
      <c r="E59" s="140">
        <v>43675</v>
      </c>
      <c r="F59" s="140">
        <v>43724</v>
      </c>
      <c r="G59" s="140"/>
      <c r="H59" s="62">
        <v>1</v>
      </c>
      <c r="I59" s="88">
        <v>3</v>
      </c>
      <c r="J59" s="88">
        <v>0</v>
      </c>
      <c r="K59" s="88">
        <v>0</v>
      </c>
      <c r="L59" s="88">
        <v>0</v>
      </c>
      <c r="M59" s="88">
        <v>0</v>
      </c>
      <c r="N59" s="88">
        <v>6.9507334929495501</v>
      </c>
      <c r="O59" s="116">
        <v>0</v>
      </c>
      <c r="P59" s="116">
        <v>1</v>
      </c>
      <c r="Q59" s="116">
        <v>0</v>
      </c>
      <c r="R59" s="116"/>
      <c r="S59" s="115">
        <v>3</v>
      </c>
      <c r="T59" s="88">
        <v>0</v>
      </c>
      <c r="U59" s="88">
        <v>13.6248377616896</v>
      </c>
      <c r="V59" s="88">
        <v>0.548806809682304</v>
      </c>
      <c r="W59" s="88">
        <v>15.9722222222222</v>
      </c>
      <c r="X59" s="88">
        <v>72.9166666666667</v>
      </c>
      <c r="Y59" s="88">
        <v>1</v>
      </c>
      <c r="Z59" s="88">
        <v>51.3888888888889</v>
      </c>
      <c r="AA59" s="88">
        <v>24.324324324324301</v>
      </c>
      <c r="AB59" s="88">
        <v>7.1428571428571397</v>
      </c>
      <c r="AC59" s="88">
        <v>8.0749262506416208</v>
      </c>
      <c r="AD59" s="88">
        <v>597</v>
      </c>
      <c r="AE59" s="88">
        <v>600</v>
      </c>
      <c r="AF59" s="88">
        <v>0.5</v>
      </c>
      <c r="AG59" s="88">
        <v>2</v>
      </c>
      <c r="AH59" s="88">
        <v>53</v>
      </c>
      <c r="AI59" s="115">
        <v>3</v>
      </c>
      <c r="AJ59" s="115">
        <v>3</v>
      </c>
      <c r="AK59" s="88">
        <v>14</v>
      </c>
      <c r="AL59" s="88">
        <v>49</v>
      </c>
      <c r="AM59" s="88">
        <v>28.657803287756799</v>
      </c>
      <c r="AN59" s="88">
        <v>81.133787325485301</v>
      </c>
      <c r="AO59" s="88">
        <v>4.8157150743315302</v>
      </c>
      <c r="AP59" s="88">
        <v>47.729938013067503</v>
      </c>
      <c r="AQ59" s="88" t="s">
        <v>25</v>
      </c>
      <c r="AR59" s="88" t="s">
        <v>25</v>
      </c>
      <c r="AS59" s="88" t="s">
        <v>25</v>
      </c>
      <c r="AT59" s="88" t="s">
        <v>25</v>
      </c>
      <c r="AU59" s="88">
        <v>1</v>
      </c>
      <c r="AV59" s="88">
        <v>44</v>
      </c>
      <c r="AW59" s="88">
        <v>9</v>
      </c>
      <c r="AX59" s="88">
        <v>15</v>
      </c>
      <c r="AY59" s="88">
        <v>9</v>
      </c>
      <c r="AZ59" s="88">
        <v>10</v>
      </c>
      <c r="BA59" s="88">
        <v>1</v>
      </c>
      <c r="BC59" s="88">
        <v>120</v>
      </c>
      <c r="BD59" s="88">
        <v>3</v>
      </c>
      <c r="BE59" s="88">
        <v>4</v>
      </c>
      <c r="BF59" s="88">
        <v>2</v>
      </c>
      <c r="BG59" s="88">
        <v>2</v>
      </c>
      <c r="BH59" s="111">
        <v>0.85004870267699395</v>
      </c>
      <c r="BI59" s="113">
        <v>3</v>
      </c>
      <c r="BJ59" s="113">
        <v>2</v>
      </c>
      <c r="BK59" s="113">
        <v>0</v>
      </c>
      <c r="BL59" s="88" t="s">
        <v>131</v>
      </c>
      <c r="BM59" s="88">
        <v>3</v>
      </c>
      <c r="BN59" s="88">
        <v>6</v>
      </c>
      <c r="BO59" s="114">
        <v>18.392753076580799</v>
      </c>
      <c r="BP59" s="114">
        <v>5.8049251694936803</v>
      </c>
      <c r="BQ59" s="114">
        <v>48.851540616246503</v>
      </c>
      <c r="BR59" s="114">
        <v>72.997198879551803</v>
      </c>
      <c r="BS59" s="111">
        <v>5</v>
      </c>
      <c r="BT59" s="114">
        <v>62.745098039215698</v>
      </c>
      <c r="BU59" s="114">
        <v>55.625</v>
      </c>
      <c r="BV59" s="114">
        <v>37.443609022556402</v>
      </c>
      <c r="BW59" s="88">
        <v>9.8243621178412397</v>
      </c>
      <c r="BX59" s="88">
        <f>600-120</f>
        <v>480</v>
      </c>
      <c r="BY59" s="88">
        <v>600</v>
      </c>
      <c r="BZ59" s="88">
        <v>0</v>
      </c>
      <c r="CA59" s="88">
        <v>38</v>
      </c>
      <c r="CB59" s="88">
        <v>3</v>
      </c>
      <c r="CC59" s="88">
        <v>3</v>
      </c>
      <c r="CD59" s="88">
        <v>34</v>
      </c>
      <c r="CE59" s="88">
        <v>19</v>
      </c>
      <c r="CF59" s="88">
        <v>35.114503816793899</v>
      </c>
      <c r="CG59" s="88">
        <v>76.0087241003272</v>
      </c>
      <c r="CH59" s="88">
        <v>2</v>
      </c>
      <c r="CI59" s="88">
        <v>33.805888767720802</v>
      </c>
      <c r="CJ59" s="88">
        <v>24.5161290322581</v>
      </c>
      <c r="CK59" s="88">
        <v>40.527182866556799</v>
      </c>
      <c r="CL59" s="88">
        <v>0</v>
      </c>
      <c r="CM59" s="88" t="s">
        <v>416</v>
      </c>
      <c r="CN59" s="88" t="s">
        <v>417</v>
      </c>
      <c r="CO59" s="88" t="s">
        <v>418</v>
      </c>
      <c r="CP59" s="88"/>
    </row>
    <row r="60" spans="1:94" s="62" customFormat="1">
      <c r="A60" s="144" t="s">
        <v>45</v>
      </c>
      <c r="B60" s="117" t="s">
        <v>17</v>
      </c>
      <c r="C60" s="138" t="s">
        <v>90</v>
      </c>
      <c r="D60" s="139">
        <f>F60-E60</f>
        <v>64</v>
      </c>
      <c r="E60" s="140">
        <v>44062</v>
      </c>
      <c r="F60" s="140">
        <v>44126</v>
      </c>
      <c r="G60" s="140"/>
      <c r="H60" s="62">
        <v>1</v>
      </c>
      <c r="I60" s="88">
        <v>8</v>
      </c>
      <c r="J60" s="88">
        <v>0</v>
      </c>
      <c r="K60" s="88">
        <v>0</v>
      </c>
      <c r="L60" s="88">
        <v>0</v>
      </c>
      <c r="M60" s="88">
        <v>0</v>
      </c>
      <c r="N60" s="88">
        <v>9.0201248781743004</v>
      </c>
      <c r="O60" s="116">
        <v>0</v>
      </c>
      <c r="P60" s="116">
        <v>1</v>
      </c>
      <c r="Q60" s="116">
        <v>0</v>
      </c>
      <c r="R60" s="116"/>
      <c r="S60" s="115">
        <v>8</v>
      </c>
      <c r="T60" s="88">
        <v>0</v>
      </c>
      <c r="U60" s="88">
        <v>2.87284665023232</v>
      </c>
      <c r="V60" s="88">
        <v>0.50053618818204304</v>
      </c>
      <c r="W60" s="88">
        <v>25.764192139738</v>
      </c>
      <c r="X60" s="88">
        <v>100</v>
      </c>
      <c r="Y60" s="88">
        <v>0</v>
      </c>
      <c r="Z60" s="88">
        <v>32.751091703056801</v>
      </c>
      <c r="AA60" s="88">
        <v>16</v>
      </c>
      <c r="AB60" s="88">
        <v>30.519480519480499</v>
      </c>
      <c r="AC60" s="88">
        <v>13.6688906549567</v>
      </c>
      <c r="AD60" s="88">
        <v>250</v>
      </c>
      <c r="AE60" s="88">
        <v>270</v>
      </c>
      <c r="AF60" s="88">
        <v>0.5</v>
      </c>
      <c r="AG60" s="88">
        <v>2</v>
      </c>
      <c r="AH60" s="88">
        <v>35</v>
      </c>
      <c r="AI60" s="115">
        <v>3</v>
      </c>
      <c r="AJ60" s="115">
        <v>3</v>
      </c>
      <c r="AK60" s="88">
        <v>5</v>
      </c>
      <c r="AL60" s="88">
        <v>21</v>
      </c>
      <c r="AM60" s="88">
        <v>12.6453030122154</v>
      </c>
      <c r="AN60" s="88">
        <v>35.775099811247699</v>
      </c>
      <c r="AO60" s="88">
        <v>5.0581105605849404</v>
      </c>
      <c r="AP60" s="88">
        <v>44.874351814918199</v>
      </c>
      <c r="AQ60" s="88">
        <v>1</v>
      </c>
      <c r="AR60" s="88">
        <v>1</v>
      </c>
      <c r="AS60" s="88">
        <v>1</v>
      </c>
      <c r="AT60" s="88">
        <v>0</v>
      </c>
      <c r="AU60" s="88">
        <v>1</v>
      </c>
      <c r="AV60" s="88">
        <v>29</v>
      </c>
      <c r="AW60" s="88">
        <v>14</v>
      </c>
      <c r="AX60" s="88">
        <v>6</v>
      </c>
      <c r="AY60" s="88">
        <v>3</v>
      </c>
      <c r="AZ60" s="88">
        <v>4</v>
      </c>
      <c r="BA60" s="88">
        <v>2</v>
      </c>
      <c r="BC60" s="88">
        <v>121</v>
      </c>
      <c r="BD60" s="88">
        <v>5</v>
      </c>
      <c r="BE60" s="88">
        <v>8</v>
      </c>
      <c r="BF60" s="88">
        <v>1</v>
      </c>
      <c r="BG60" s="88">
        <v>1</v>
      </c>
      <c r="BH60" s="111">
        <v>10.895782356429899</v>
      </c>
      <c r="BI60" s="113">
        <v>2</v>
      </c>
      <c r="BJ60" s="113">
        <v>3</v>
      </c>
      <c r="BK60" s="113">
        <v>1</v>
      </c>
      <c r="BL60" s="88" t="s">
        <v>132</v>
      </c>
      <c r="BM60" s="88">
        <v>2</v>
      </c>
      <c r="BN60" s="88">
        <v>9</v>
      </c>
      <c r="BO60" s="114">
        <v>12.702553190258399</v>
      </c>
      <c r="BP60" s="114">
        <v>6.3743878057880998</v>
      </c>
      <c r="BQ60" s="114">
        <v>51.931440266052697</v>
      </c>
      <c r="BR60" s="114">
        <v>72.678434382194894</v>
      </c>
      <c r="BS60" s="111">
        <v>6</v>
      </c>
      <c r="BT60" s="114">
        <v>44.205679201841903</v>
      </c>
      <c r="BU60" s="114">
        <v>45.370370370370402</v>
      </c>
      <c r="BV60" s="114">
        <v>57.129756992205401</v>
      </c>
      <c r="BW60" s="88">
        <v>11.3840701911538</v>
      </c>
      <c r="BX60" s="88">
        <v>4</v>
      </c>
      <c r="BY60" s="88">
        <v>145</v>
      </c>
      <c r="BZ60" s="88">
        <v>0</v>
      </c>
      <c r="CA60" s="88">
        <v>3</v>
      </c>
      <c r="CB60" s="88">
        <v>2</v>
      </c>
      <c r="CC60" s="88">
        <v>3</v>
      </c>
      <c r="CD60" s="88">
        <v>0</v>
      </c>
      <c r="CE60" s="88">
        <v>0</v>
      </c>
      <c r="CF60" s="88">
        <v>38.492063492063501</v>
      </c>
      <c r="CG60" s="88">
        <v>83.630952380952394</v>
      </c>
      <c r="CH60" s="88">
        <v>3</v>
      </c>
      <c r="CI60" s="88">
        <v>44.543650793650798</v>
      </c>
      <c r="CJ60" s="88">
        <v>36.080178173719403</v>
      </c>
      <c r="CK60" s="88">
        <v>40.429338103756699</v>
      </c>
      <c r="CL60" s="88" t="s">
        <v>419</v>
      </c>
      <c r="CM60" s="88" t="s">
        <v>420</v>
      </c>
      <c r="CN60" s="88" t="s">
        <v>421</v>
      </c>
      <c r="CO60" s="88" t="s">
        <v>422</v>
      </c>
      <c r="CP60" s="88"/>
    </row>
    <row r="61" spans="1:94" s="36" customFormat="1" ht="26">
      <c r="A61" s="32"/>
      <c r="B61" s="33"/>
      <c r="C61" s="33"/>
      <c r="D61" s="34"/>
      <c r="E61" s="35" t="s">
        <v>590</v>
      </c>
      <c r="F61" s="33"/>
      <c r="G61" s="33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9"/>
      <c r="U61" s="96"/>
      <c r="V61" s="99"/>
      <c r="W61" s="96"/>
      <c r="X61" s="96"/>
      <c r="Y61" s="96"/>
      <c r="Z61" s="96"/>
      <c r="AA61" s="96"/>
      <c r="AB61" s="96"/>
      <c r="AC61" s="96"/>
      <c r="AD61" s="96"/>
      <c r="AE61" s="96"/>
      <c r="AF61" s="99"/>
      <c r="AG61" s="99"/>
      <c r="AH61" s="96"/>
      <c r="AI61" s="99"/>
      <c r="AJ61" s="96"/>
      <c r="AK61" s="96"/>
      <c r="AL61" s="99"/>
      <c r="AM61" s="99"/>
      <c r="AN61" s="96"/>
      <c r="AO61" s="99"/>
      <c r="AP61" s="99"/>
      <c r="AQ61" s="99"/>
      <c r="AR61" s="99"/>
      <c r="AS61" s="99"/>
      <c r="AT61" s="96"/>
      <c r="AU61" s="96"/>
      <c r="AV61" s="96"/>
      <c r="AW61" s="96"/>
      <c r="AX61" s="96"/>
      <c r="AY61" s="96"/>
      <c r="AZ61" s="96"/>
      <c r="BA61" s="96"/>
      <c r="BC61" s="96"/>
      <c r="BD61" s="96"/>
      <c r="BE61" s="96"/>
      <c r="BF61" s="96"/>
      <c r="BG61" s="96"/>
      <c r="BH61" s="97"/>
      <c r="BI61" s="98"/>
      <c r="BJ61" s="98"/>
      <c r="BK61" s="98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</row>
    <row r="62" spans="1:94" s="70" customFormat="1">
      <c r="A62" s="69" t="s">
        <v>133</v>
      </c>
      <c r="B62" s="70" t="s">
        <v>41</v>
      </c>
      <c r="C62" s="70" t="s">
        <v>134</v>
      </c>
      <c r="D62" s="71">
        <f t="shared" ref="D62:D70" si="3">F62-E62</f>
        <v>66</v>
      </c>
      <c r="E62" s="72">
        <v>44171</v>
      </c>
      <c r="F62" s="72">
        <v>44237</v>
      </c>
      <c r="G62" s="72"/>
      <c r="H62" s="70">
        <v>2</v>
      </c>
      <c r="I62" s="74">
        <v>19</v>
      </c>
      <c r="J62" s="74">
        <v>1</v>
      </c>
      <c r="K62" s="74">
        <v>1</v>
      </c>
      <c r="L62" s="74">
        <v>0</v>
      </c>
      <c r="M62" s="74">
        <v>1</v>
      </c>
      <c r="N62" s="79">
        <v>11.4789997094149</v>
      </c>
      <c r="O62" s="74">
        <v>2</v>
      </c>
      <c r="P62" s="74">
        <v>1</v>
      </c>
      <c r="Q62" s="74">
        <v>2</v>
      </c>
      <c r="R62" s="74"/>
      <c r="S62" s="74">
        <v>7</v>
      </c>
      <c r="T62" s="74">
        <v>2</v>
      </c>
      <c r="U62" s="79">
        <v>6.5649566224302403</v>
      </c>
      <c r="V62" s="79">
        <v>1.6548135227676</v>
      </c>
      <c r="W62" s="74">
        <v>26.1862917398946</v>
      </c>
      <c r="X62" s="74">
        <v>90.333919156414794</v>
      </c>
      <c r="Y62" s="74">
        <v>1</v>
      </c>
      <c r="Z62" s="74">
        <v>59.402460456942002</v>
      </c>
      <c r="AA62" s="74">
        <v>37.869822485207102</v>
      </c>
      <c r="AB62" s="74">
        <v>9.0909090909090899</v>
      </c>
      <c r="AC62" s="74">
        <v>8.4540780154829793</v>
      </c>
      <c r="AD62" s="74">
        <v>37</v>
      </c>
      <c r="AE62" s="74">
        <f>78-6</f>
        <v>72</v>
      </c>
      <c r="AF62" s="74">
        <v>6</v>
      </c>
      <c r="AG62" s="74">
        <v>6</v>
      </c>
      <c r="AH62" s="74">
        <v>12</v>
      </c>
      <c r="AI62" s="80">
        <v>2</v>
      </c>
      <c r="AJ62" s="80">
        <v>0</v>
      </c>
      <c r="AK62" s="80">
        <v>2</v>
      </c>
      <c r="AL62" s="80">
        <v>4</v>
      </c>
      <c r="AM62" s="74">
        <v>2.1404203569990301</v>
      </c>
      <c r="AN62" s="79">
        <v>24.567960440840501</v>
      </c>
      <c r="AO62" s="79">
        <v>5.8558763379387697</v>
      </c>
      <c r="AP62" s="79">
        <v>36.827711941659103</v>
      </c>
      <c r="AQ62" s="80">
        <v>0</v>
      </c>
      <c r="AR62" s="80">
        <v>0</v>
      </c>
      <c r="AS62" s="74">
        <v>2</v>
      </c>
      <c r="AT62" s="74">
        <v>3</v>
      </c>
      <c r="AU62" s="80">
        <v>2</v>
      </c>
      <c r="AV62" s="74">
        <v>11</v>
      </c>
      <c r="AW62" s="74">
        <v>5</v>
      </c>
      <c r="AX62" s="74">
        <v>2</v>
      </c>
      <c r="AY62" s="74">
        <v>1</v>
      </c>
      <c r="AZ62" s="74">
        <v>3</v>
      </c>
      <c r="BA62" s="74">
        <v>0</v>
      </c>
      <c r="BC62" s="77">
        <f>8*60+28</f>
        <v>508</v>
      </c>
      <c r="BD62" s="73">
        <v>4</v>
      </c>
      <c r="BE62" s="73">
        <v>4</v>
      </c>
      <c r="BF62" s="73">
        <v>0</v>
      </c>
      <c r="BG62" s="73">
        <v>2</v>
      </c>
      <c r="BH62" s="100">
        <v>4.3165090372588502</v>
      </c>
      <c r="BI62" s="78">
        <v>2</v>
      </c>
      <c r="BJ62" s="78">
        <v>3</v>
      </c>
      <c r="BK62" s="78">
        <v>3</v>
      </c>
      <c r="BL62" s="74" t="s">
        <v>135</v>
      </c>
      <c r="BM62" s="80">
        <v>7</v>
      </c>
      <c r="BN62" s="77"/>
      <c r="BO62" s="74">
        <v>11.055653527675201</v>
      </c>
      <c r="BP62" s="74">
        <v>10.471405979788999</v>
      </c>
      <c r="BQ62" s="74">
        <v>72.414708615425496</v>
      </c>
      <c r="BR62" s="74">
        <v>55.522368246382598</v>
      </c>
      <c r="BS62" s="74">
        <v>13</v>
      </c>
      <c r="BT62" s="74">
        <v>43.276251161555798</v>
      </c>
      <c r="BU62" s="74">
        <v>73.849693251533694</v>
      </c>
      <c r="BV62" s="74">
        <v>73.097679438748003</v>
      </c>
      <c r="BW62" s="74">
        <v>0.89410550122381505</v>
      </c>
      <c r="BX62" s="74"/>
      <c r="BY62" s="74"/>
      <c r="BZ62" s="74"/>
      <c r="CA62" s="74"/>
      <c r="CB62" s="74"/>
      <c r="CC62" s="74"/>
      <c r="CD62" s="74"/>
      <c r="CE62" s="74"/>
      <c r="CF62" s="74">
        <v>49.084249084249102</v>
      </c>
      <c r="CG62" s="74">
        <v>82.356532356532398</v>
      </c>
      <c r="CH62" s="74">
        <v>3</v>
      </c>
      <c r="CI62" s="74">
        <v>68.070818070818106</v>
      </c>
      <c r="CJ62" s="74">
        <v>60.358744394618803</v>
      </c>
      <c r="CK62" s="74">
        <v>25.047801147227499</v>
      </c>
      <c r="CL62" s="74">
        <v>0</v>
      </c>
      <c r="CM62" s="74" t="s">
        <v>423</v>
      </c>
      <c r="CN62" s="74" t="s">
        <v>424</v>
      </c>
      <c r="CO62" s="74" t="s">
        <v>425</v>
      </c>
      <c r="CP62" s="74"/>
    </row>
    <row r="63" spans="1:94" s="70" customFormat="1">
      <c r="A63" s="69" t="s">
        <v>136</v>
      </c>
      <c r="B63" s="74" t="s">
        <v>41</v>
      </c>
      <c r="C63" s="74" t="s">
        <v>134</v>
      </c>
      <c r="D63" s="75">
        <f t="shared" si="3"/>
        <v>66</v>
      </c>
      <c r="E63" s="76">
        <v>44171</v>
      </c>
      <c r="F63" s="76">
        <v>44237</v>
      </c>
      <c r="G63" s="76"/>
      <c r="H63" s="74">
        <v>2</v>
      </c>
      <c r="I63" s="74">
        <v>5</v>
      </c>
      <c r="J63" s="74">
        <v>0</v>
      </c>
      <c r="K63" s="74">
        <v>0</v>
      </c>
      <c r="L63" s="74">
        <v>0</v>
      </c>
      <c r="M63" s="74">
        <v>0</v>
      </c>
      <c r="N63" s="79">
        <v>6.3516950437828097</v>
      </c>
      <c r="O63" s="74">
        <v>0</v>
      </c>
      <c r="P63" s="74">
        <v>1</v>
      </c>
      <c r="Q63" s="74">
        <v>0</v>
      </c>
      <c r="R63" s="74"/>
      <c r="S63" s="74">
        <v>5</v>
      </c>
      <c r="T63" s="74">
        <v>0</v>
      </c>
      <c r="U63" s="79">
        <v>7.9527567514022</v>
      </c>
      <c r="V63" s="79">
        <v>0.40793716838913102</v>
      </c>
      <c r="W63" s="74">
        <v>10.1351351351351</v>
      </c>
      <c r="X63" s="74">
        <v>70.945945945945994</v>
      </c>
      <c r="Y63" s="74">
        <v>0</v>
      </c>
      <c r="Z63" s="74">
        <v>46.6216216216216</v>
      </c>
      <c r="AA63" s="74">
        <v>13.0434782608696</v>
      </c>
      <c r="AB63" s="74">
        <v>7.59493670886076</v>
      </c>
      <c r="AC63" s="74">
        <v>4.0094387176848301</v>
      </c>
      <c r="AD63" s="74">
        <v>7</v>
      </c>
      <c r="AE63" s="74">
        <f>47-5</f>
        <v>42</v>
      </c>
      <c r="AF63" s="74">
        <v>0</v>
      </c>
      <c r="AG63" s="74">
        <v>4</v>
      </c>
      <c r="AH63" s="74">
        <v>1</v>
      </c>
      <c r="AI63" s="80">
        <v>2</v>
      </c>
      <c r="AJ63" s="80">
        <v>2</v>
      </c>
      <c r="AK63" s="80">
        <v>0</v>
      </c>
      <c r="AL63" s="80">
        <v>0</v>
      </c>
      <c r="AM63" s="74">
        <v>0.375105984172453</v>
      </c>
      <c r="AN63" s="79">
        <v>15.9172909414862</v>
      </c>
      <c r="AO63" s="79">
        <v>5.6871729296674696</v>
      </c>
      <c r="AP63" s="79">
        <v>12.1212121212121</v>
      </c>
      <c r="AQ63" s="80">
        <v>1</v>
      </c>
      <c r="AR63" s="80">
        <v>0</v>
      </c>
      <c r="AS63" s="74">
        <v>3</v>
      </c>
      <c r="AT63" s="74">
        <v>3</v>
      </c>
      <c r="AU63" s="80">
        <v>1</v>
      </c>
      <c r="AV63" s="74">
        <v>2</v>
      </c>
      <c r="AW63" s="74">
        <v>0</v>
      </c>
      <c r="AX63" s="74">
        <v>0</v>
      </c>
      <c r="AY63" s="74">
        <v>2</v>
      </c>
      <c r="AZ63" s="74">
        <v>0</v>
      </c>
      <c r="BA63" s="74">
        <v>0</v>
      </c>
      <c r="BC63" s="77">
        <v>60</v>
      </c>
      <c r="BD63" s="73">
        <v>0</v>
      </c>
      <c r="BE63" s="73">
        <v>0</v>
      </c>
      <c r="BF63" s="73">
        <v>0</v>
      </c>
      <c r="BG63" s="73">
        <v>2</v>
      </c>
      <c r="BH63" s="74">
        <v>7.1512455538021102</v>
      </c>
      <c r="BI63" s="78">
        <v>0</v>
      </c>
      <c r="BJ63" s="78">
        <v>2</v>
      </c>
      <c r="BK63" s="78">
        <v>0</v>
      </c>
      <c r="BL63" s="74" t="s">
        <v>137</v>
      </c>
      <c r="BM63" s="80">
        <v>10</v>
      </c>
      <c r="BN63" s="77"/>
      <c r="BO63" s="74" t="s">
        <v>273</v>
      </c>
      <c r="BP63" s="74" t="s">
        <v>274</v>
      </c>
      <c r="BQ63" s="74" t="s">
        <v>275</v>
      </c>
      <c r="BR63" s="74" t="s">
        <v>276</v>
      </c>
      <c r="BS63" s="74">
        <v>3</v>
      </c>
      <c r="BT63" s="74" t="s">
        <v>277</v>
      </c>
      <c r="BU63" s="74" t="s">
        <v>278</v>
      </c>
      <c r="BV63" s="74" t="s">
        <v>279</v>
      </c>
      <c r="BW63" s="74" t="s">
        <v>280</v>
      </c>
      <c r="BX63" s="74"/>
      <c r="BY63" s="74"/>
      <c r="BZ63" s="74"/>
      <c r="CA63" s="74"/>
      <c r="CB63" s="74"/>
      <c r="CC63" s="74"/>
      <c r="CD63" s="74"/>
      <c r="CE63" s="74"/>
      <c r="CF63" s="74">
        <v>34.008379888268202</v>
      </c>
      <c r="CG63" s="74">
        <v>57.472067039106101</v>
      </c>
      <c r="CH63" s="74">
        <v>3</v>
      </c>
      <c r="CI63" s="74">
        <v>54.608938547485998</v>
      </c>
      <c r="CJ63" s="74">
        <v>40.153452685422003</v>
      </c>
      <c r="CK63" s="74">
        <v>26.615384615384599</v>
      </c>
      <c r="CL63" s="74" t="s">
        <v>426</v>
      </c>
      <c r="CM63" s="74" t="s">
        <v>427</v>
      </c>
      <c r="CN63" s="74" t="s">
        <v>428</v>
      </c>
      <c r="CO63" s="74" t="s">
        <v>429</v>
      </c>
      <c r="CP63" s="74"/>
    </row>
    <row r="64" spans="1:94" s="70" customFormat="1">
      <c r="A64" s="69" t="s">
        <v>138</v>
      </c>
      <c r="B64" s="70" t="s">
        <v>41</v>
      </c>
      <c r="C64" s="70" t="s">
        <v>134</v>
      </c>
      <c r="D64" s="71">
        <f t="shared" si="3"/>
        <v>66</v>
      </c>
      <c r="E64" s="72">
        <v>44171</v>
      </c>
      <c r="F64" s="72">
        <v>44237</v>
      </c>
      <c r="G64" s="72"/>
      <c r="H64" s="70">
        <v>2</v>
      </c>
      <c r="I64" s="74">
        <v>12</v>
      </c>
      <c r="J64" s="74">
        <v>0</v>
      </c>
      <c r="K64" s="74">
        <v>0</v>
      </c>
      <c r="L64" s="74">
        <v>0</v>
      </c>
      <c r="M64" s="74">
        <v>0</v>
      </c>
      <c r="N64" s="79">
        <v>8.9653690577934295</v>
      </c>
      <c r="O64" s="74">
        <v>0</v>
      </c>
      <c r="P64" s="74">
        <v>1</v>
      </c>
      <c r="Q64" s="74">
        <v>0</v>
      </c>
      <c r="R64" s="74"/>
      <c r="S64" s="74">
        <v>12</v>
      </c>
      <c r="T64" s="74">
        <v>0</v>
      </c>
      <c r="U64" s="79">
        <v>13.068719978151799</v>
      </c>
      <c r="V64" s="79">
        <v>1.0429470756228401</v>
      </c>
      <c r="W64" s="74">
        <v>19.0883190883191</v>
      </c>
      <c r="X64" s="74">
        <v>79.772079772079806</v>
      </c>
      <c r="Y64" s="74">
        <v>1</v>
      </c>
      <c r="Z64" s="74">
        <v>26.210826210826198</v>
      </c>
      <c r="AA64" s="74">
        <v>16.304347826087</v>
      </c>
      <c r="AB64" s="74">
        <v>20.077220077220101</v>
      </c>
      <c r="AC64" s="74">
        <v>1.4810981669654499</v>
      </c>
      <c r="AD64" s="74">
        <v>10</v>
      </c>
      <c r="AE64" s="74">
        <v>75</v>
      </c>
      <c r="AF64" s="74">
        <v>1</v>
      </c>
      <c r="AG64" s="74">
        <v>4</v>
      </c>
      <c r="AH64" s="74">
        <v>2</v>
      </c>
      <c r="AI64" s="80">
        <v>1</v>
      </c>
      <c r="AJ64" s="80">
        <v>3</v>
      </c>
      <c r="AK64" s="80">
        <v>0</v>
      </c>
      <c r="AL64" s="80">
        <v>0</v>
      </c>
      <c r="AM64" s="74">
        <v>0.36431695540602699</v>
      </c>
      <c r="AN64" s="79">
        <v>23.863522969179801</v>
      </c>
      <c r="AO64" s="79">
        <v>3.70744024963314</v>
      </c>
      <c r="AP64" s="79">
        <v>61.694915254237301</v>
      </c>
      <c r="AQ64" s="80">
        <v>2</v>
      </c>
      <c r="AR64" s="80">
        <v>2</v>
      </c>
      <c r="AS64" s="74">
        <v>4</v>
      </c>
      <c r="AT64" s="74">
        <v>4</v>
      </c>
      <c r="AU64" s="80">
        <v>1</v>
      </c>
      <c r="AV64" s="74">
        <v>3</v>
      </c>
      <c r="AW64" s="74">
        <v>0</v>
      </c>
      <c r="AX64" s="74">
        <v>0</v>
      </c>
      <c r="AY64" s="74">
        <v>2</v>
      </c>
      <c r="AZ64" s="74">
        <v>1</v>
      </c>
      <c r="BA64" s="74">
        <v>0</v>
      </c>
      <c r="BC64" s="77">
        <v>600</v>
      </c>
      <c r="BD64" s="73">
        <v>7</v>
      </c>
      <c r="BE64" s="73">
        <v>6</v>
      </c>
      <c r="BF64" s="73">
        <v>2</v>
      </c>
      <c r="BG64" s="73">
        <v>3</v>
      </c>
      <c r="BH64" s="100" t="s">
        <v>25</v>
      </c>
      <c r="BI64" s="78">
        <v>5</v>
      </c>
      <c r="BJ64" s="78">
        <v>5</v>
      </c>
      <c r="BK64" s="78">
        <v>5</v>
      </c>
      <c r="BL64" s="74" t="s">
        <v>26</v>
      </c>
      <c r="BM64" s="80">
        <v>4</v>
      </c>
      <c r="BN64" s="77"/>
      <c r="BO64" s="74">
        <v>11.7982387114773</v>
      </c>
      <c r="BP64" s="74">
        <v>11.153437702822099</v>
      </c>
      <c r="BQ64" s="74">
        <v>76.124125680026694</v>
      </c>
      <c r="BR64" s="74">
        <v>74.125680026645895</v>
      </c>
      <c r="BS64" s="74">
        <v>4</v>
      </c>
      <c r="BT64" s="74">
        <v>42.011768624403203</v>
      </c>
      <c r="BU64" s="74">
        <v>77.695560253699796</v>
      </c>
      <c r="BV64" s="74">
        <v>74.985640436530701</v>
      </c>
      <c r="BW64" s="74" t="s">
        <v>25</v>
      </c>
      <c r="BX64" s="74"/>
      <c r="BY64" s="74"/>
      <c r="BZ64" s="74"/>
      <c r="CA64" s="74"/>
      <c r="CB64" s="74"/>
      <c r="CC64" s="74"/>
      <c r="CD64" s="74"/>
      <c r="CE64" s="74"/>
      <c r="CF64" s="74">
        <v>51.766784452296797</v>
      </c>
      <c r="CG64" s="74">
        <v>87.455830388692604</v>
      </c>
      <c r="CH64" s="74">
        <v>0</v>
      </c>
      <c r="CI64" s="74">
        <v>54.004711425206096</v>
      </c>
      <c r="CJ64" s="74">
        <v>53.980370774263903</v>
      </c>
      <c r="CK64" s="74">
        <v>49.167733674775903</v>
      </c>
      <c r="CL64" s="74" t="s">
        <v>430</v>
      </c>
      <c r="CM64" s="74" t="s">
        <v>431</v>
      </c>
      <c r="CN64" s="74" t="s">
        <v>432</v>
      </c>
      <c r="CO64" s="74" t="s">
        <v>433</v>
      </c>
      <c r="CP64" s="74"/>
    </row>
    <row r="65" spans="1:94" s="70" customFormat="1">
      <c r="A65" s="69" t="s">
        <v>139</v>
      </c>
      <c r="B65" s="70" t="s">
        <v>17</v>
      </c>
      <c r="C65" s="70" t="s">
        <v>70</v>
      </c>
      <c r="D65" s="71">
        <f t="shared" si="3"/>
        <v>63</v>
      </c>
      <c r="E65" s="72">
        <v>44178</v>
      </c>
      <c r="F65" s="72">
        <v>44241</v>
      </c>
      <c r="G65" s="72"/>
      <c r="H65" s="70">
        <v>2</v>
      </c>
      <c r="I65" s="74">
        <v>23</v>
      </c>
      <c r="J65" s="74">
        <v>1</v>
      </c>
      <c r="K65" s="74">
        <v>1</v>
      </c>
      <c r="L65" s="74">
        <v>0</v>
      </c>
      <c r="M65" s="74">
        <v>0</v>
      </c>
      <c r="N65" s="79">
        <v>7.6511014671555104</v>
      </c>
      <c r="O65" s="74">
        <v>0</v>
      </c>
      <c r="P65" s="74">
        <v>1</v>
      </c>
      <c r="Q65" s="74">
        <v>0</v>
      </c>
      <c r="R65" s="74"/>
      <c r="S65" s="74">
        <v>7</v>
      </c>
      <c r="T65" s="74">
        <v>1</v>
      </c>
      <c r="U65" s="79">
        <v>0.23246779902770001</v>
      </c>
      <c r="V65" s="79">
        <v>1.1100990825185399</v>
      </c>
      <c r="W65" s="74">
        <v>51.159420289855099</v>
      </c>
      <c r="X65" s="74">
        <v>66.086956521739097</v>
      </c>
      <c r="Y65" s="74">
        <v>1</v>
      </c>
      <c r="Z65" s="74">
        <v>43.188405797101503</v>
      </c>
      <c r="AA65" s="74">
        <v>43.959731543624201</v>
      </c>
      <c r="AB65" s="74">
        <v>56.632653061224502</v>
      </c>
      <c r="AC65" s="74">
        <v>2.0322066388181899</v>
      </c>
      <c r="AD65" s="74">
        <v>9</v>
      </c>
      <c r="AE65" s="74">
        <v>56</v>
      </c>
      <c r="AF65" s="74">
        <v>1</v>
      </c>
      <c r="AG65" s="74">
        <v>2</v>
      </c>
      <c r="AH65" s="74">
        <v>5.5</v>
      </c>
      <c r="AI65" s="80">
        <v>2</v>
      </c>
      <c r="AJ65" s="80">
        <v>2</v>
      </c>
      <c r="AK65" s="80">
        <v>0</v>
      </c>
      <c r="AL65" s="80">
        <v>0</v>
      </c>
      <c r="AM65" s="74">
        <v>0.343397902386124</v>
      </c>
      <c r="AN65" s="79">
        <v>33.371792714100501</v>
      </c>
      <c r="AO65" s="79">
        <v>3.9349612087880899</v>
      </c>
      <c r="AP65" s="79">
        <v>58.396946564885504</v>
      </c>
      <c r="AQ65" s="80">
        <v>1</v>
      </c>
      <c r="AR65" s="80">
        <v>1</v>
      </c>
      <c r="AS65" s="74">
        <v>3</v>
      </c>
      <c r="AT65" s="74">
        <v>7</v>
      </c>
      <c r="AU65" s="80">
        <v>1</v>
      </c>
      <c r="AV65" s="74">
        <v>3</v>
      </c>
      <c r="AW65" s="74">
        <v>0</v>
      </c>
      <c r="AX65" s="74">
        <v>1</v>
      </c>
      <c r="AY65" s="74">
        <v>1</v>
      </c>
      <c r="AZ65" s="74">
        <v>1</v>
      </c>
      <c r="BA65" s="74">
        <v>0</v>
      </c>
      <c r="BC65" s="77">
        <v>120</v>
      </c>
      <c r="BD65" s="73">
        <v>2</v>
      </c>
      <c r="BE65" s="73">
        <v>2</v>
      </c>
      <c r="BF65" s="73">
        <v>0</v>
      </c>
      <c r="BG65" s="73">
        <v>1</v>
      </c>
      <c r="BH65" s="100">
        <v>4.1295397045270104</v>
      </c>
      <c r="BI65" s="78">
        <v>3</v>
      </c>
      <c r="BJ65" s="78">
        <v>3</v>
      </c>
      <c r="BK65" s="78">
        <v>1</v>
      </c>
      <c r="BL65" s="74" t="s">
        <v>140</v>
      </c>
      <c r="BM65" s="80">
        <v>6</v>
      </c>
      <c r="BN65" s="77"/>
      <c r="BO65" s="74">
        <v>10.138867512191</v>
      </c>
      <c r="BP65" s="74">
        <v>3.7281731895080599</v>
      </c>
      <c r="BQ65" s="74">
        <v>57.756153405838603</v>
      </c>
      <c r="BR65" s="74">
        <v>85.890097309673706</v>
      </c>
      <c r="BS65" s="74">
        <v>2</v>
      </c>
      <c r="BT65" s="74">
        <v>30.881511161992002</v>
      </c>
      <c r="BU65" s="74">
        <v>44.6709916589435</v>
      </c>
      <c r="BV65" s="74">
        <v>63.602484472049703</v>
      </c>
      <c r="BW65" s="74">
        <v>2.5936893846177802</v>
      </c>
      <c r="BX65" s="74"/>
      <c r="BY65" s="74"/>
      <c r="BZ65" s="74"/>
      <c r="CA65" s="74"/>
      <c r="CB65" s="74"/>
      <c r="CC65" s="74"/>
      <c r="CD65" s="74"/>
      <c r="CE65" s="74"/>
      <c r="CF65" s="74">
        <v>52.743271221532098</v>
      </c>
      <c r="CG65" s="74">
        <v>93.530020703933701</v>
      </c>
      <c r="CH65" s="74">
        <v>1</v>
      </c>
      <c r="CI65" s="74">
        <v>37.215320910973098</v>
      </c>
      <c r="CJ65" s="74">
        <v>40.055632823365798</v>
      </c>
      <c r="CK65" s="74">
        <v>60.263808738664501</v>
      </c>
      <c r="CL65" s="74" t="s">
        <v>434</v>
      </c>
      <c r="CM65" s="74" t="s">
        <v>435</v>
      </c>
      <c r="CN65" s="74" t="s">
        <v>436</v>
      </c>
      <c r="CO65" s="74" t="s">
        <v>437</v>
      </c>
      <c r="CP65" s="74"/>
    </row>
    <row r="66" spans="1:94" s="70" customFormat="1">
      <c r="A66" s="69" t="s">
        <v>141</v>
      </c>
      <c r="B66" s="70" t="s">
        <v>17</v>
      </c>
      <c r="C66" s="70" t="s">
        <v>70</v>
      </c>
      <c r="D66" s="71">
        <f t="shared" si="3"/>
        <v>57</v>
      </c>
      <c r="E66" s="72">
        <v>44184</v>
      </c>
      <c r="F66" s="72">
        <v>44241</v>
      </c>
      <c r="G66" s="72"/>
      <c r="H66" s="70">
        <v>2</v>
      </c>
      <c r="I66" s="80">
        <v>4</v>
      </c>
      <c r="J66" s="74">
        <v>0</v>
      </c>
      <c r="K66" s="74">
        <v>0</v>
      </c>
      <c r="L66" s="74">
        <v>0</v>
      </c>
      <c r="M66" s="74">
        <v>0</v>
      </c>
      <c r="N66" s="79">
        <v>5.8355788745959201</v>
      </c>
      <c r="O66" s="74">
        <v>0</v>
      </c>
      <c r="P66" s="74">
        <v>1</v>
      </c>
      <c r="Q66" s="74">
        <v>0</v>
      </c>
      <c r="R66" s="74"/>
      <c r="S66" s="74">
        <v>4</v>
      </c>
      <c r="T66" s="74">
        <v>0</v>
      </c>
      <c r="U66" s="79">
        <v>9.3235358320423405</v>
      </c>
      <c r="V66" s="79">
        <v>0.302040073315961</v>
      </c>
      <c r="W66" s="74">
        <v>25.806451612903199</v>
      </c>
      <c r="X66" s="74">
        <v>75.806451612903203</v>
      </c>
      <c r="Y66" s="74">
        <v>0</v>
      </c>
      <c r="Z66" s="74">
        <v>55.645161290322598</v>
      </c>
      <c r="AA66" s="74">
        <v>20.289855072463801</v>
      </c>
      <c r="AB66" s="74">
        <v>32.727272727272698</v>
      </c>
      <c r="AC66" s="74">
        <v>4.4403230713380797</v>
      </c>
      <c r="AD66" s="74">
        <v>19</v>
      </c>
      <c r="AE66" s="74">
        <v>53</v>
      </c>
      <c r="AF66" s="74">
        <v>0</v>
      </c>
      <c r="AG66" s="74">
        <v>1</v>
      </c>
      <c r="AH66" s="74">
        <v>16</v>
      </c>
      <c r="AI66" s="80">
        <v>3</v>
      </c>
      <c r="AJ66" s="80">
        <v>3</v>
      </c>
      <c r="AK66" s="80">
        <v>0</v>
      </c>
      <c r="AL66" s="80">
        <v>0</v>
      </c>
      <c r="AM66" s="74">
        <v>0.65379937781650899</v>
      </c>
      <c r="AN66" s="79">
        <v>29.9788151608569</v>
      </c>
      <c r="AO66" s="79">
        <v>3.4076855001752602</v>
      </c>
      <c r="AP66" s="79">
        <v>58.1597222222222</v>
      </c>
      <c r="AQ66" s="80">
        <v>1</v>
      </c>
      <c r="AR66" s="80">
        <v>1</v>
      </c>
      <c r="AS66" s="74">
        <v>7</v>
      </c>
      <c r="AT66" s="74">
        <v>6</v>
      </c>
      <c r="AU66" s="80">
        <v>1</v>
      </c>
      <c r="AV66" s="74">
        <v>3</v>
      </c>
      <c r="AW66" s="74">
        <v>0</v>
      </c>
      <c r="AX66" s="74">
        <v>0</v>
      </c>
      <c r="AY66" s="74">
        <v>1</v>
      </c>
      <c r="AZ66" s="74">
        <v>1</v>
      </c>
      <c r="BA66" s="74">
        <v>1</v>
      </c>
      <c r="BC66" s="77">
        <v>22</v>
      </c>
      <c r="BD66" s="73">
        <v>2</v>
      </c>
      <c r="BE66" s="73">
        <v>2</v>
      </c>
      <c r="BF66" s="73">
        <v>0</v>
      </c>
      <c r="BG66" s="73">
        <v>0</v>
      </c>
      <c r="BH66" s="100">
        <v>10.4970775208514</v>
      </c>
      <c r="BI66" s="78">
        <v>3</v>
      </c>
      <c r="BJ66" s="78">
        <v>3</v>
      </c>
      <c r="BK66" s="78">
        <v>1</v>
      </c>
      <c r="BL66" s="74" t="s">
        <v>142</v>
      </c>
      <c r="BM66" s="80">
        <v>2</v>
      </c>
      <c r="BN66" s="77"/>
      <c r="BO66" s="74">
        <v>12.1279099232828</v>
      </c>
      <c r="BP66" s="74">
        <v>1.56114361838175</v>
      </c>
      <c r="BQ66" s="74">
        <v>29.411764705882401</v>
      </c>
      <c r="BR66" s="74">
        <v>95.046439628483</v>
      </c>
      <c r="BS66" s="74">
        <v>1</v>
      </c>
      <c r="BT66" s="74">
        <v>56.656346749226003</v>
      </c>
      <c r="BU66" s="74">
        <v>40.163934426229503</v>
      </c>
      <c r="BV66" s="74">
        <v>15.3571428571429</v>
      </c>
      <c r="BW66" s="74">
        <v>6.4942301324251899</v>
      </c>
      <c r="BX66" s="74"/>
      <c r="BY66" s="74"/>
      <c r="BZ66" s="74"/>
      <c r="CA66" s="74"/>
      <c r="CB66" s="74"/>
      <c r="CC66" s="74"/>
      <c r="CD66" s="74"/>
      <c r="CE66" s="74"/>
      <c r="CF66" s="74" t="s">
        <v>25</v>
      </c>
      <c r="CG66" s="74" t="s">
        <v>25</v>
      </c>
      <c r="CH66" s="74" t="s">
        <v>25</v>
      </c>
      <c r="CI66" s="74" t="s">
        <v>25</v>
      </c>
      <c r="CJ66" s="74" t="s">
        <v>25</v>
      </c>
      <c r="CK66" s="74" t="s">
        <v>25</v>
      </c>
      <c r="CL66" s="74" t="s">
        <v>25</v>
      </c>
      <c r="CM66" s="74" t="s">
        <v>25</v>
      </c>
      <c r="CN66" s="74" t="s">
        <v>25</v>
      </c>
      <c r="CO66" s="74" t="s">
        <v>25</v>
      </c>
      <c r="CP66" s="74"/>
    </row>
    <row r="67" spans="1:94" s="70" customFormat="1">
      <c r="A67" s="69" t="s">
        <v>143</v>
      </c>
      <c r="B67" s="70" t="s">
        <v>17</v>
      </c>
      <c r="C67" s="70" t="s">
        <v>70</v>
      </c>
      <c r="D67" s="71">
        <f t="shared" si="3"/>
        <v>66</v>
      </c>
      <c r="E67" s="72">
        <v>44178</v>
      </c>
      <c r="F67" s="72">
        <v>44244</v>
      </c>
      <c r="G67" s="72"/>
      <c r="H67" s="70">
        <v>2</v>
      </c>
      <c r="I67" s="74">
        <v>3</v>
      </c>
      <c r="J67" s="74">
        <v>0</v>
      </c>
      <c r="K67" s="74">
        <v>0</v>
      </c>
      <c r="L67" s="74">
        <v>0</v>
      </c>
      <c r="M67" s="74">
        <v>0</v>
      </c>
      <c r="N67" s="79">
        <v>11.2292293416512</v>
      </c>
      <c r="O67" s="74">
        <v>2</v>
      </c>
      <c r="P67" s="74">
        <v>3</v>
      </c>
      <c r="Q67" s="74">
        <v>1</v>
      </c>
      <c r="R67" s="74"/>
      <c r="S67" s="101">
        <v>3</v>
      </c>
      <c r="T67" s="74">
        <v>0</v>
      </c>
      <c r="U67" s="79">
        <v>8.7071072906286808</v>
      </c>
      <c r="V67" s="79">
        <v>0.22942999891559601</v>
      </c>
      <c r="W67" s="74">
        <v>33.3333333333333</v>
      </c>
      <c r="X67" s="74">
        <v>100</v>
      </c>
      <c r="Y67" s="74">
        <v>0</v>
      </c>
      <c r="Z67" s="74">
        <v>47.435897435897402</v>
      </c>
      <c r="AA67" s="74">
        <v>0</v>
      </c>
      <c r="AB67" s="74">
        <v>63.414634146341498</v>
      </c>
      <c r="AC67" s="74">
        <v>5.3172411172769101</v>
      </c>
      <c r="AD67" s="74">
        <v>4</v>
      </c>
      <c r="AE67" s="74">
        <f>43-5</f>
        <v>38</v>
      </c>
      <c r="AF67" s="74">
        <v>0</v>
      </c>
      <c r="AG67" s="74">
        <v>1</v>
      </c>
      <c r="AH67" s="74">
        <v>1.5</v>
      </c>
      <c r="AI67" s="80">
        <v>3</v>
      </c>
      <c r="AJ67" s="80">
        <v>3</v>
      </c>
      <c r="AK67" s="80">
        <v>0</v>
      </c>
      <c r="AL67" s="80">
        <v>0</v>
      </c>
      <c r="AM67" s="74">
        <v>0.166467619544477</v>
      </c>
      <c r="AN67" s="79">
        <v>19.924739342336199</v>
      </c>
      <c r="AO67" s="79">
        <v>4.3457653239383403</v>
      </c>
      <c r="AP67" s="79">
        <v>49.565217391304401</v>
      </c>
      <c r="AQ67" s="80">
        <v>1</v>
      </c>
      <c r="AR67" s="80">
        <v>1</v>
      </c>
      <c r="AS67" s="74">
        <v>3</v>
      </c>
      <c r="AT67" s="74">
        <v>3</v>
      </c>
      <c r="AU67" s="80">
        <v>1</v>
      </c>
      <c r="AV67" s="74">
        <v>2</v>
      </c>
      <c r="AW67" s="74">
        <v>0</v>
      </c>
      <c r="AX67" s="74">
        <v>0</v>
      </c>
      <c r="AY67" s="74">
        <v>1</v>
      </c>
      <c r="AZ67" s="74">
        <v>0</v>
      </c>
      <c r="BA67" s="74">
        <v>0</v>
      </c>
      <c r="BC67" s="77">
        <v>32</v>
      </c>
      <c r="BD67" s="73">
        <v>1</v>
      </c>
      <c r="BE67" s="73">
        <v>1</v>
      </c>
      <c r="BF67" s="73">
        <v>0</v>
      </c>
      <c r="BG67" s="73">
        <v>1</v>
      </c>
      <c r="BH67" s="100">
        <v>11.664812980846399</v>
      </c>
      <c r="BI67" s="78">
        <v>2</v>
      </c>
      <c r="BJ67" s="78">
        <v>2</v>
      </c>
      <c r="BK67" s="78">
        <v>1</v>
      </c>
      <c r="BL67" s="74" t="s">
        <v>144</v>
      </c>
      <c r="BM67" s="80">
        <v>1</v>
      </c>
      <c r="BN67" s="77"/>
      <c r="BO67" s="74">
        <v>11.799780365172399</v>
      </c>
      <c r="BP67" s="74">
        <v>1.81567356955767</v>
      </c>
      <c r="BQ67" s="74">
        <v>42.564655172413801</v>
      </c>
      <c r="BR67" s="74">
        <v>93.965517241379303</v>
      </c>
      <c r="BS67" s="74">
        <v>1</v>
      </c>
      <c r="BT67" s="74">
        <v>68.103448275862107</v>
      </c>
      <c r="BU67" s="74">
        <v>46.044303797468402</v>
      </c>
      <c r="BV67" s="74">
        <v>35.135135135135101</v>
      </c>
      <c r="BW67" s="74">
        <v>9.7664258187755397</v>
      </c>
      <c r="BX67" s="74"/>
      <c r="BY67" s="74"/>
      <c r="BZ67" s="74"/>
      <c r="CA67" s="74"/>
      <c r="CB67" s="74"/>
      <c r="CC67" s="74"/>
      <c r="CD67" s="74"/>
      <c r="CE67" s="74"/>
      <c r="CF67" s="74" t="s">
        <v>25</v>
      </c>
      <c r="CG67" s="74" t="s">
        <v>25</v>
      </c>
      <c r="CH67" s="74" t="s">
        <v>25</v>
      </c>
      <c r="CI67" s="74" t="s">
        <v>25</v>
      </c>
      <c r="CJ67" s="74" t="s">
        <v>25</v>
      </c>
      <c r="CK67" s="74" t="s">
        <v>25</v>
      </c>
      <c r="CL67" s="74" t="s">
        <v>438</v>
      </c>
      <c r="CM67" s="74" t="s">
        <v>439</v>
      </c>
      <c r="CN67" s="74" t="s">
        <v>440</v>
      </c>
      <c r="CO67" s="74" t="s">
        <v>441</v>
      </c>
      <c r="CP67" s="74"/>
    </row>
    <row r="68" spans="1:94" s="70" customFormat="1">
      <c r="A68" s="69" t="s">
        <v>145</v>
      </c>
      <c r="B68" s="70" t="s">
        <v>41</v>
      </c>
      <c r="C68" s="70" t="s">
        <v>134</v>
      </c>
      <c r="D68" s="71">
        <f t="shared" si="3"/>
        <v>53</v>
      </c>
      <c r="E68" s="72">
        <v>44204</v>
      </c>
      <c r="F68" s="72">
        <v>44257</v>
      </c>
      <c r="G68" s="72"/>
      <c r="H68" s="70">
        <v>2</v>
      </c>
      <c r="I68" s="74">
        <f>12-5</f>
        <v>7</v>
      </c>
      <c r="J68" s="74">
        <v>1</v>
      </c>
      <c r="K68" s="74">
        <v>0</v>
      </c>
      <c r="L68" s="74">
        <v>0</v>
      </c>
      <c r="M68" s="74">
        <v>0</v>
      </c>
      <c r="N68" s="79">
        <v>6.32279970528415</v>
      </c>
      <c r="O68" s="74">
        <v>1</v>
      </c>
      <c r="P68" s="74">
        <v>3</v>
      </c>
      <c r="Q68" s="74">
        <v>1</v>
      </c>
      <c r="R68" s="74"/>
      <c r="S68" s="101">
        <v>4</v>
      </c>
      <c r="T68" s="74">
        <v>1</v>
      </c>
      <c r="U68" s="79">
        <v>9.0819022617733296</v>
      </c>
      <c r="V68" s="79">
        <v>0.380130638965399</v>
      </c>
      <c r="W68" s="74">
        <v>23.5632183908046</v>
      </c>
      <c r="X68" s="74">
        <v>66.6666666666667</v>
      </c>
      <c r="Y68" s="74">
        <v>0</v>
      </c>
      <c r="Z68" s="74">
        <v>60.344827586206897</v>
      </c>
      <c r="AA68" s="74">
        <v>28.571428571428601</v>
      </c>
      <c r="AB68" s="74">
        <v>15.9420289855072</v>
      </c>
      <c r="AC68" s="74">
        <v>3.7922587484200001</v>
      </c>
      <c r="AD68" s="74">
        <v>6</v>
      </c>
      <c r="AE68" s="74">
        <v>35</v>
      </c>
      <c r="AF68" s="74">
        <v>0.5</v>
      </c>
      <c r="AG68" s="74">
        <v>0.5</v>
      </c>
      <c r="AH68" s="74">
        <v>3</v>
      </c>
      <c r="AI68" s="80">
        <v>2</v>
      </c>
      <c r="AJ68" s="80">
        <v>3</v>
      </c>
      <c r="AK68" s="80">
        <v>0</v>
      </c>
      <c r="AL68" s="80">
        <v>0</v>
      </c>
      <c r="AM68" s="74">
        <v>0.26152415030792497</v>
      </c>
      <c r="AN68" s="79">
        <v>17.791681747045999</v>
      </c>
      <c r="AO68" s="79">
        <v>4.4610128402018399</v>
      </c>
      <c r="AP68" s="79">
        <v>30.681818181818201</v>
      </c>
      <c r="AQ68" s="80">
        <v>0</v>
      </c>
      <c r="AR68" s="80">
        <v>0</v>
      </c>
      <c r="AS68" s="74">
        <v>3</v>
      </c>
      <c r="AT68" s="74">
        <v>5</v>
      </c>
      <c r="AU68" s="80">
        <v>1</v>
      </c>
      <c r="AV68" s="74">
        <v>3</v>
      </c>
      <c r="AW68" s="74">
        <v>0</v>
      </c>
      <c r="AX68" s="74">
        <v>0</v>
      </c>
      <c r="AY68" s="74">
        <v>2</v>
      </c>
      <c r="AZ68" s="74">
        <v>1</v>
      </c>
      <c r="BA68" s="74">
        <v>0</v>
      </c>
      <c r="BC68" s="77">
        <v>80</v>
      </c>
      <c r="BD68" s="73">
        <v>2</v>
      </c>
      <c r="BE68" s="73">
        <v>2</v>
      </c>
      <c r="BF68" s="73">
        <v>0</v>
      </c>
      <c r="BG68" s="73">
        <v>0</v>
      </c>
      <c r="BH68" s="100">
        <v>4.5549641989375198</v>
      </c>
      <c r="BI68" s="78">
        <v>2</v>
      </c>
      <c r="BJ68" s="78">
        <v>3</v>
      </c>
      <c r="BK68" s="78">
        <v>1</v>
      </c>
      <c r="BL68" s="74" t="s">
        <v>146</v>
      </c>
      <c r="BM68" s="80">
        <v>11</v>
      </c>
      <c r="BN68" s="77"/>
      <c r="BO68" s="74">
        <v>3.1064681796118299</v>
      </c>
      <c r="BP68" s="74">
        <v>2.8343678327117598</v>
      </c>
      <c r="BQ68" s="74">
        <v>48.928276999175601</v>
      </c>
      <c r="BR68" s="74">
        <v>73.5779060181369</v>
      </c>
      <c r="BS68" s="74">
        <v>3</v>
      </c>
      <c r="BT68" s="74">
        <v>43.404781533388302</v>
      </c>
      <c r="BU68" s="74">
        <v>43.969610636277302</v>
      </c>
      <c r="BV68" s="74">
        <v>52.731245447924302</v>
      </c>
      <c r="BW68" s="74">
        <v>4.6742663885973901</v>
      </c>
      <c r="BX68" s="74"/>
      <c r="BY68" s="74"/>
      <c r="BZ68" s="74"/>
      <c r="CA68" s="74"/>
      <c r="CB68" s="74"/>
      <c r="CC68" s="74"/>
      <c r="CD68" s="74"/>
      <c r="CE68" s="74"/>
      <c r="CF68" s="74">
        <v>44.716692189892797</v>
      </c>
      <c r="CG68" s="74">
        <v>84.175599795814193</v>
      </c>
      <c r="CH68" s="74">
        <v>3</v>
      </c>
      <c r="CI68" s="74">
        <v>29.913221031138299</v>
      </c>
      <c r="CJ68" s="74">
        <v>25.938566552901001</v>
      </c>
      <c r="CK68" s="74">
        <v>52.731245447924302</v>
      </c>
      <c r="CL68" s="74" t="s">
        <v>442</v>
      </c>
      <c r="CM68" s="74" t="s">
        <v>443</v>
      </c>
      <c r="CN68" s="74" t="s">
        <v>444</v>
      </c>
      <c r="CO68" s="74" t="s">
        <v>445</v>
      </c>
      <c r="CP68" s="74"/>
    </row>
    <row r="69" spans="1:94" s="70" customFormat="1">
      <c r="A69" s="69" t="s">
        <v>147</v>
      </c>
      <c r="B69" s="70" t="s">
        <v>41</v>
      </c>
      <c r="C69" s="70" t="s">
        <v>134</v>
      </c>
      <c r="D69" s="71">
        <f t="shared" si="3"/>
        <v>53</v>
      </c>
      <c r="E69" s="72">
        <v>44204</v>
      </c>
      <c r="F69" s="72">
        <v>44257</v>
      </c>
      <c r="G69" s="72"/>
      <c r="H69" s="70">
        <v>2</v>
      </c>
      <c r="I69" s="74">
        <v>3</v>
      </c>
      <c r="J69" s="74">
        <v>0</v>
      </c>
      <c r="K69" s="74">
        <v>0</v>
      </c>
      <c r="L69" s="74">
        <v>0</v>
      </c>
      <c r="M69" s="74">
        <v>0</v>
      </c>
      <c r="N69" s="79">
        <v>7.1535813534680299</v>
      </c>
      <c r="O69" s="74">
        <v>0</v>
      </c>
      <c r="P69" s="74">
        <v>1</v>
      </c>
      <c r="Q69" s="101">
        <v>0</v>
      </c>
      <c r="R69" s="101"/>
      <c r="S69" s="101">
        <v>3</v>
      </c>
      <c r="T69" s="74">
        <v>0</v>
      </c>
      <c r="U69" s="79">
        <v>7.8860204974060304</v>
      </c>
      <c r="V69" s="79">
        <v>0.151730726089125</v>
      </c>
      <c r="W69" s="74">
        <v>30.5555555555556</v>
      </c>
      <c r="X69" s="74">
        <v>0</v>
      </c>
      <c r="Y69" s="74">
        <v>1</v>
      </c>
      <c r="Z69" s="74">
        <v>51.3888888888889</v>
      </c>
      <c r="AA69" s="74">
        <v>27.027027027027</v>
      </c>
      <c r="AB69" s="74">
        <v>34.285714285714299</v>
      </c>
      <c r="AC69" s="74">
        <v>2.5844391947203902</v>
      </c>
      <c r="AD69" s="74">
        <v>10</v>
      </c>
      <c r="AE69" s="74">
        <v>36</v>
      </c>
      <c r="AF69" s="74">
        <v>1</v>
      </c>
      <c r="AG69" s="74">
        <v>2</v>
      </c>
      <c r="AH69" s="74">
        <v>7</v>
      </c>
      <c r="AI69" s="80">
        <v>2</v>
      </c>
      <c r="AJ69" s="80">
        <v>3</v>
      </c>
      <c r="AK69" s="80">
        <v>0</v>
      </c>
      <c r="AL69" s="80">
        <v>0</v>
      </c>
      <c r="AM69" s="74">
        <v>0.26442183425142701</v>
      </c>
      <c r="AN69" s="79">
        <v>11.4428481254403</v>
      </c>
      <c r="AO69" s="79">
        <v>2.5943230344019601</v>
      </c>
      <c r="AP69" s="79">
        <v>49.346405228758201</v>
      </c>
      <c r="AQ69" s="80">
        <v>1</v>
      </c>
      <c r="AR69" s="80">
        <v>1</v>
      </c>
      <c r="AS69" s="74">
        <v>8</v>
      </c>
      <c r="AT69" s="74">
        <v>4</v>
      </c>
      <c r="AU69" s="80">
        <v>2</v>
      </c>
      <c r="AV69" s="74">
        <v>1</v>
      </c>
      <c r="AW69" s="74">
        <v>0</v>
      </c>
      <c r="AX69" s="74">
        <v>0</v>
      </c>
      <c r="AY69" s="74">
        <v>0</v>
      </c>
      <c r="AZ69" s="74">
        <v>0</v>
      </c>
      <c r="BA69" s="74">
        <v>1</v>
      </c>
      <c r="BC69" s="77">
        <f>6*60+32</f>
        <v>392</v>
      </c>
      <c r="BD69" s="73">
        <v>6</v>
      </c>
      <c r="BE69" s="73">
        <v>6</v>
      </c>
      <c r="BF69" s="73">
        <v>1</v>
      </c>
      <c r="BG69" s="73">
        <v>0</v>
      </c>
      <c r="BH69" s="100">
        <v>2.91223543042857</v>
      </c>
      <c r="BI69" s="78">
        <v>2</v>
      </c>
      <c r="BJ69" s="78">
        <v>3</v>
      </c>
      <c r="BK69" s="78">
        <v>2</v>
      </c>
      <c r="BL69" s="74" t="s">
        <v>148</v>
      </c>
      <c r="BM69" s="80">
        <v>3</v>
      </c>
      <c r="BN69" s="77"/>
      <c r="BO69" s="74">
        <v>10.026060463281601</v>
      </c>
      <c r="BP69" s="74">
        <v>12.5750683953323</v>
      </c>
      <c r="BQ69" s="74">
        <v>57.156422651933703</v>
      </c>
      <c r="BR69" s="74">
        <v>71.754143646408806</v>
      </c>
      <c r="BS69" s="74">
        <v>12</v>
      </c>
      <c r="BT69" s="74">
        <v>40.288328729281801</v>
      </c>
      <c r="BU69" s="74">
        <v>56.117420184272603</v>
      </c>
      <c r="BV69" s="74">
        <v>58.218373936014103</v>
      </c>
      <c r="BW69" s="74">
        <v>4.9300201787785003</v>
      </c>
      <c r="BX69" s="74"/>
      <c r="BY69" s="74"/>
      <c r="BZ69" s="74"/>
      <c r="CA69" s="74"/>
      <c r="CB69" s="74"/>
      <c r="CC69" s="74"/>
      <c r="CD69" s="74"/>
      <c r="CE69" s="74"/>
      <c r="CF69" s="74">
        <v>52.911133810010199</v>
      </c>
      <c r="CG69" s="74">
        <v>90.806945863125605</v>
      </c>
      <c r="CH69" s="74">
        <v>1</v>
      </c>
      <c r="CI69" s="74">
        <v>25.9448416751788</v>
      </c>
      <c r="CJ69" s="74">
        <v>44.488188976377998</v>
      </c>
      <c r="CK69" s="74">
        <v>57.535263548626602</v>
      </c>
      <c r="CL69" s="74" t="s">
        <v>446</v>
      </c>
      <c r="CM69" s="74" t="s">
        <v>447</v>
      </c>
      <c r="CN69" s="74" t="s">
        <v>448</v>
      </c>
      <c r="CO69" s="74" t="s">
        <v>449</v>
      </c>
      <c r="CP69" s="74"/>
    </row>
    <row r="70" spans="1:94" s="70" customFormat="1">
      <c r="A70" s="69" t="s">
        <v>149</v>
      </c>
      <c r="B70" s="70" t="s">
        <v>41</v>
      </c>
      <c r="C70" s="70" t="s">
        <v>134</v>
      </c>
      <c r="D70" s="71">
        <f t="shared" si="3"/>
        <v>53</v>
      </c>
      <c r="E70" s="72">
        <v>44204</v>
      </c>
      <c r="F70" s="72">
        <v>44257</v>
      </c>
      <c r="G70" s="72"/>
      <c r="H70" s="70">
        <v>2</v>
      </c>
      <c r="I70" s="74">
        <v>9</v>
      </c>
      <c r="J70" s="74">
        <v>0</v>
      </c>
      <c r="K70" s="74">
        <v>0</v>
      </c>
      <c r="L70" s="74">
        <v>0</v>
      </c>
      <c r="M70" s="74">
        <v>0</v>
      </c>
      <c r="N70" s="79">
        <v>4.3814978603346599</v>
      </c>
      <c r="O70" s="74">
        <v>0</v>
      </c>
      <c r="P70" s="74">
        <v>1</v>
      </c>
      <c r="Q70" s="101">
        <v>0</v>
      </c>
      <c r="R70" s="101"/>
      <c r="S70" s="74">
        <v>7</v>
      </c>
      <c r="T70" s="74">
        <v>0</v>
      </c>
      <c r="U70" s="79">
        <v>6.1275324850888504</v>
      </c>
      <c r="V70" s="79">
        <v>0.51766501748560401</v>
      </c>
      <c r="W70" s="74">
        <v>32.269503546099301</v>
      </c>
      <c r="X70" s="74">
        <v>100</v>
      </c>
      <c r="Y70" s="74">
        <v>0</v>
      </c>
      <c r="Z70" s="74">
        <v>62.411347517730498</v>
      </c>
      <c r="AA70" s="74">
        <v>37.5</v>
      </c>
      <c r="AB70" s="74">
        <v>23.584905660377402</v>
      </c>
      <c r="AC70" s="74">
        <v>1.57758630463945</v>
      </c>
      <c r="AD70" s="74">
        <v>99</v>
      </c>
      <c r="AE70" s="74">
        <v>117</v>
      </c>
      <c r="AF70" s="74">
        <v>1.5</v>
      </c>
      <c r="AG70" s="74">
        <v>3</v>
      </c>
      <c r="AH70" s="74">
        <v>17</v>
      </c>
      <c r="AI70" s="80">
        <v>2</v>
      </c>
      <c r="AJ70" s="80">
        <v>2</v>
      </c>
      <c r="AK70" s="80">
        <v>8</v>
      </c>
      <c r="AL70" s="80">
        <v>4</v>
      </c>
      <c r="AM70" s="74">
        <v>3.4773870562779998</v>
      </c>
      <c r="AN70" s="79">
        <v>24.0103672737037</v>
      </c>
      <c r="AO70" s="79">
        <v>3.5161099140343102</v>
      </c>
      <c r="AP70" s="79">
        <v>58.571909733917103</v>
      </c>
      <c r="AQ70" s="80">
        <v>1</v>
      </c>
      <c r="AR70" s="80">
        <v>0</v>
      </c>
      <c r="AS70" s="74">
        <v>1</v>
      </c>
      <c r="AT70" s="74">
        <v>0</v>
      </c>
      <c r="AU70" s="80">
        <v>1</v>
      </c>
      <c r="AV70" s="74">
        <v>16</v>
      </c>
      <c r="AW70" s="74">
        <v>9</v>
      </c>
      <c r="AX70" s="74">
        <v>3</v>
      </c>
      <c r="AY70" s="74">
        <v>1</v>
      </c>
      <c r="AZ70" s="74">
        <v>1</v>
      </c>
      <c r="BA70" s="74">
        <v>2</v>
      </c>
      <c r="BC70" s="77">
        <v>368</v>
      </c>
      <c r="BD70" s="73">
        <v>5</v>
      </c>
      <c r="BE70" s="73">
        <v>5</v>
      </c>
      <c r="BF70" s="73">
        <v>3</v>
      </c>
      <c r="BG70" s="73">
        <v>5</v>
      </c>
      <c r="BH70" s="100">
        <v>7.1790689518604696</v>
      </c>
      <c r="BI70" s="78">
        <v>0</v>
      </c>
      <c r="BJ70" s="78">
        <v>1</v>
      </c>
      <c r="BK70" s="78">
        <v>0</v>
      </c>
      <c r="BL70" s="74" t="s">
        <v>150</v>
      </c>
      <c r="BM70" s="80">
        <f>33-8</f>
        <v>25</v>
      </c>
      <c r="BN70" s="77"/>
      <c r="BO70" s="74">
        <v>0.86093547454670305</v>
      </c>
      <c r="BP70" s="74">
        <v>10.7655110833843</v>
      </c>
      <c r="BQ70" s="74">
        <v>60.445095704734896</v>
      </c>
      <c r="BR70" s="74">
        <v>59.300302225478497</v>
      </c>
      <c r="BS70" s="74">
        <v>17</v>
      </c>
      <c r="BT70" s="74">
        <v>48.127117867936597</v>
      </c>
      <c r="BU70" s="74">
        <v>62.226450999048502</v>
      </c>
      <c r="BV70" s="74">
        <v>58.792372881355902</v>
      </c>
      <c r="BW70" s="74">
        <v>4.2076642110792903</v>
      </c>
      <c r="BX70" s="74"/>
      <c r="BY70" s="74"/>
      <c r="BZ70" s="74"/>
      <c r="CA70" s="74"/>
      <c r="CB70" s="74"/>
      <c r="CC70" s="74"/>
      <c r="CD70" s="74"/>
      <c r="CE70" s="74"/>
      <c r="CF70" s="74">
        <v>62.138836772983097</v>
      </c>
      <c r="CG70" s="74">
        <v>90.393996247654798</v>
      </c>
      <c r="CH70" s="74">
        <v>1</v>
      </c>
      <c r="CI70" s="74">
        <v>45.966228893058201</v>
      </c>
      <c r="CJ70" s="74">
        <v>58.448979591836697</v>
      </c>
      <c r="CK70" s="74">
        <v>65.2777777777778</v>
      </c>
      <c r="CL70" s="74" t="s">
        <v>450</v>
      </c>
      <c r="CM70" s="74" t="s">
        <v>451</v>
      </c>
      <c r="CN70" s="74" t="s">
        <v>452</v>
      </c>
      <c r="CO70" s="74" t="s">
        <v>453</v>
      </c>
      <c r="CP70" s="74"/>
    </row>
    <row r="71" spans="1:94" s="70" customFormat="1">
      <c r="A71" s="69" t="s">
        <v>85</v>
      </c>
      <c r="D71" s="71"/>
      <c r="E71" s="72"/>
      <c r="F71" s="72"/>
      <c r="G71" s="72"/>
      <c r="H71" s="70">
        <v>2</v>
      </c>
      <c r="I71" s="74">
        <v>3</v>
      </c>
      <c r="J71" s="74">
        <v>0</v>
      </c>
      <c r="K71" s="74">
        <v>0</v>
      </c>
      <c r="L71" s="74">
        <v>0</v>
      </c>
      <c r="M71" s="74">
        <v>0</v>
      </c>
      <c r="N71" s="79">
        <v>8.3728982771252092</v>
      </c>
      <c r="O71" s="74">
        <v>0</v>
      </c>
      <c r="P71" s="74">
        <v>1</v>
      </c>
      <c r="Q71" s="101">
        <v>0</v>
      </c>
      <c r="R71" s="101"/>
      <c r="S71" s="74">
        <v>3</v>
      </c>
      <c r="T71" s="74">
        <v>0</v>
      </c>
      <c r="U71" s="79">
        <v>12.7807765088804</v>
      </c>
      <c r="V71" s="79">
        <v>0.298663271935251</v>
      </c>
      <c r="W71" s="74">
        <v>14.7368421052632</v>
      </c>
      <c r="X71" s="74">
        <v>100</v>
      </c>
      <c r="Y71" s="74">
        <v>0</v>
      </c>
      <c r="Z71" s="74">
        <v>64.210526315789494</v>
      </c>
      <c r="AA71" s="74">
        <v>22.9508196721311</v>
      </c>
      <c r="AB71" s="74">
        <v>0</v>
      </c>
      <c r="AC71" s="74">
        <v>7.4217638557853203</v>
      </c>
      <c r="AD71" s="74">
        <v>0.5</v>
      </c>
      <c r="AE71" s="74">
        <v>27</v>
      </c>
      <c r="AF71" s="74">
        <v>0.5</v>
      </c>
      <c r="AG71" s="74">
        <v>0.5</v>
      </c>
      <c r="AH71" s="74">
        <v>0</v>
      </c>
      <c r="AI71" s="80">
        <v>0</v>
      </c>
      <c r="AJ71" s="80">
        <v>1</v>
      </c>
      <c r="AK71" s="80">
        <v>0</v>
      </c>
      <c r="AL71" s="80">
        <v>0</v>
      </c>
      <c r="AM71" s="74">
        <v>1.89499272024851E-2</v>
      </c>
      <c r="AN71" s="79">
        <v>8.1387721388017802</v>
      </c>
      <c r="AO71" s="79">
        <v>2.99415969049066</v>
      </c>
      <c r="AP71" s="79">
        <v>63.157894736842103</v>
      </c>
      <c r="AQ71" s="80">
        <v>1</v>
      </c>
      <c r="AR71" s="80">
        <v>1</v>
      </c>
      <c r="AS71" s="74">
        <v>2</v>
      </c>
      <c r="AT71" s="74">
        <v>4</v>
      </c>
      <c r="AU71" s="80">
        <v>1</v>
      </c>
      <c r="AV71" s="74">
        <v>1</v>
      </c>
      <c r="AW71" s="74">
        <v>1</v>
      </c>
      <c r="AX71" s="74">
        <v>0</v>
      </c>
      <c r="AY71" s="74">
        <v>0</v>
      </c>
      <c r="AZ71" s="74">
        <v>0</v>
      </c>
      <c r="BA71" s="74">
        <v>0</v>
      </c>
      <c r="BC71" s="77">
        <v>4</v>
      </c>
      <c r="BD71" s="77">
        <v>0</v>
      </c>
      <c r="BE71" s="77">
        <v>0</v>
      </c>
      <c r="BF71" s="77">
        <v>0</v>
      </c>
      <c r="BG71" s="77">
        <v>0</v>
      </c>
      <c r="BH71" s="100">
        <v>8.0677568635262595</v>
      </c>
      <c r="BI71" s="78">
        <v>1</v>
      </c>
      <c r="BJ71" s="78">
        <v>1</v>
      </c>
      <c r="BK71" s="78">
        <v>2</v>
      </c>
      <c r="BL71" s="74" t="s">
        <v>151</v>
      </c>
      <c r="BM71" s="74">
        <v>4</v>
      </c>
      <c r="BN71" s="77"/>
      <c r="BO71" s="74">
        <v>12.517571543041599</v>
      </c>
      <c r="BP71" s="74">
        <v>0.31682204082044102</v>
      </c>
      <c r="BQ71" s="74">
        <v>6.1855670103092804</v>
      </c>
      <c r="BR71" s="74">
        <v>100</v>
      </c>
      <c r="BS71" s="74">
        <v>0</v>
      </c>
      <c r="BT71" s="74">
        <v>74.226804123711403</v>
      </c>
      <c r="BU71" s="74">
        <v>8.3333333333333304</v>
      </c>
      <c r="BV71" s="74">
        <v>0</v>
      </c>
      <c r="BW71" s="74">
        <v>10.537912958781099</v>
      </c>
      <c r="BX71" s="74"/>
      <c r="BY71" s="74"/>
      <c r="BZ71" s="74"/>
      <c r="CA71" s="74"/>
      <c r="CB71" s="74"/>
      <c r="CC71" s="74"/>
      <c r="CD71" s="74"/>
      <c r="CE71" s="74"/>
      <c r="CF71" s="74" t="s">
        <v>25</v>
      </c>
      <c r="CG71" s="74" t="s">
        <v>25</v>
      </c>
      <c r="CH71" s="74" t="s">
        <v>25</v>
      </c>
      <c r="CI71" s="74" t="s">
        <v>25</v>
      </c>
      <c r="CJ71" s="74" t="s">
        <v>25</v>
      </c>
      <c r="CK71" s="74" t="s">
        <v>25</v>
      </c>
      <c r="CL71" s="74" t="s">
        <v>25</v>
      </c>
      <c r="CM71" s="74" t="s">
        <v>25</v>
      </c>
      <c r="CN71" s="74" t="s">
        <v>25</v>
      </c>
      <c r="CO71" s="74" t="s">
        <v>25</v>
      </c>
      <c r="CP71" s="74"/>
    </row>
    <row r="72" spans="1:94" s="70" customFormat="1">
      <c r="A72" s="69" t="s">
        <v>152</v>
      </c>
      <c r="D72" s="71"/>
      <c r="E72" s="72"/>
      <c r="F72" s="72"/>
      <c r="G72" s="72"/>
      <c r="H72" s="70">
        <v>2</v>
      </c>
      <c r="I72" s="74">
        <v>4</v>
      </c>
      <c r="J72" s="74">
        <v>0</v>
      </c>
      <c r="K72" s="74">
        <v>0</v>
      </c>
      <c r="L72" s="74">
        <v>0</v>
      </c>
      <c r="M72" s="74">
        <v>0</v>
      </c>
      <c r="N72" s="79">
        <v>6.5413533549843699</v>
      </c>
      <c r="O72" s="74">
        <v>0</v>
      </c>
      <c r="P72" s="74">
        <v>1</v>
      </c>
      <c r="Q72" s="101">
        <v>0</v>
      </c>
      <c r="R72" s="101"/>
      <c r="S72" s="74">
        <v>4</v>
      </c>
      <c r="T72" s="74">
        <v>0</v>
      </c>
      <c r="U72" s="79">
        <v>5.7342347676759102</v>
      </c>
      <c r="V72" s="79">
        <v>0.28292755847102502</v>
      </c>
      <c r="W72" s="74">
        <v>26.119402985074601</v>
      </c>
      <c r="X72" s="74">
        <v>100</v>
      </c>
      <c r="Y72" s="74">
        <v>0</v>
      </c>
      <c r="Z72" s="74">
        <v>48.507462686567202</v>
      </c>
      <c r="AA72" s="74">
        <v>35.384615384615401</v>
      </c>
      <c r="AB72" s="74">
        <v>17.3913043478261</v>
      </c>
      <c r="AC72" s="74">
        <v>1.4535518607198099</v>
      </c>
      <c r="AD72" s="74">
        <f>95-12</f>
        <v>83</v>
      </c>
      <c r="AE72" s="74"/>
      <c r="AF72" s="74">
        <v>0.5</v>
      </c>
      <c r="AG72" s="74">
        <v>1</v>
      </c>
      <c r="AH72" s="74">
        <v>8</v>
      </c>
      <c r="AI72" s="80">
        <v>2</v>
      </c>
      <c r="AJ72" s="80">
        <v>2</v>
      </c>
      <c r="AK72" s="80">
        <v>12</v>
      </c>
      <c r="AL72" s="80">
        <v>5</v>
      </c>
      <c r="AM72" s="74">
        <v>2.6145195301898299</v>
      </c>
      <c r="AN72" s="79">
        <v>23.211833313700399</v>
      </c>
      <c r="AO72" s="79">
        <v>3.1410312247722301</v>
      </c>
      <c r="AP72" s="79">
        <v>58.4633853541417</v>
      </c>
      <c r="AQ72" s="80">
        <v>1</v>
      </c>
      <c r="AR72" s="80">
        <v>1</v>
      </c>
      <c r="AS72" s="74">
        <v>4</v>
      </c>
      <c r="AT72" s="74">
        <v>0</v>
      </c>
      <c r="AU72" s="80">
        <v>1</v>
      </c>
      <c r="AV72" s="74">
        <v>11</v>
      </c>
      <c r="AW72" s="74">
        <v>5</v>
      </c>
      <c r="AX72" s="74">
        <v>4</v>
      </c>
      <c r="AY72" s="74">
        <v>1</v>
      </c>
      <c r="AZ72" s="74">
        <v>1</v>
      </c>
      <c r="BA72" s="74">
        <v>0</v>
      </c>
      <c r="BC72" s="74">
        <f>161-7</f>
        <v>154</v>
      </c>
      <c r="BD72" s="102">
        <v>7</v>
      </c>
      <c r="BE72" s="77">
        <v>8</v>
      </c>
      <c r="BF72" s="77">
        <v>1</v>
      </c>
      <c r="BG72" s="77">
        <v>3</v>
      </c>
      <c r="BH72" s="77">
        <v>1.9826250142645001</v>
      </c>
      <c r="BI72" s="78">
        <v>3</v>
      </c>
      <c r="BJ72" s="78">
        <v>3</v>
      </c>
      <c r="BK72" s="78">
        <v>1</v>
      </c>
      <c r="BL72" s="74" t="s">
        <v>153</v>
      </c>
      <c r="BM72" s="74">
        <v>2</v>
      </c>
      <c r="BN72" s="74"/>
      <c r="BO72" s="74">
        <v>15.159863101475899</v>
      </c>
      <c r="BP72" s="74">
        <v>6.4465743461351703</v>
      </c>
      <c r="BQ72" s="74">
        <v>54.0785498489426</v>
      </c>
      <c r="BR72" s="74">
        <v>84.182132067328396</v>
      </c>
      <c r="BS72" s="74">
        <v>4</v>
      </c>
      <c r="BT72" s="74">
        <v>42.706085455330197</v>
      </c>
      <c r="BU72" s="74">
        <v>46.437594744820601</v>
      </c>
      <c r="BV72" s="74">
        <v>59.774011299435003</v>
      </c>
      <c r="BW72" s="74">
        <v>10.081459071096299</v>
      </c>
      <c r="BX72" s="74"/>
      <c r="BY72" s="74"/>
      <c r="BZ72" s="74"/>
      <c r="CA72" s="74"/>
      <c r="CB72" s="74"/>
      <c r="CC72" s="74"/>
      <c r="CD72" s="74"/>
      <c r="CE72" s="74"/>
      <c r="CF72" s="74">
        <v>29.70498474059</v>
      </c>
      <c r="CG72" s="74">
        <v>84.537131230925695</v>
      </c>
      <c r="CH72" s="74">
        <v>3</v>
      </c>
      <c r="CI72" s="74">
        <v>52.6958290946083</v>
      </c>
      <c r="CJ72" s="74">
        <v>23.938223938223899</v>
      </c>
      <c r="CK72" s="74">
        <v>36.129032258064498</v>
      </c>
      <c r="CL72" s="74" t="s">
        <v>454</v>
      </c>
      <c r="CM72" s="74" t="s">
        <v>455</v>
      </c>
      <c r="CN72" s="74" t="s">
        <v>456</v>
      </c>
      <c r="CO72" s="74" t="s">
        <v>457</v>
      </c>
      <c r="CP72" s="74"/>
    </row>
    <row r="73" spans="1:94" s="70" customFormat="1">
      <c r="A73" s="69" t="s">
        <v>154</v>
      </c>
      <c r="B73" s="70" t="s">
        <v>17</v>
      </c>
      <c r="C73" s="70" t="s">
        <v>18</v>
      </c>
      <c r="D73" s="71"/>
      <c r="F73" s="72">
        <v>44628</v>
      </c>
      <c r="G73" s="72"/>
      <c r="H73" s="70">
        <v>2</v>
      </c>
      <c r="I73" s="74">
        <f>21-6</f>
        <v>15</v>
      </c>
      <c r="J73" s="74">
        <v>1</v>
      </c>
      <c r="K73" s="74">
        <v>0</v>
      </c>
      <c r="L73" s="74">
        <v>0</v>
      </c>
      <c r="M73" s="74">
        <v>0</v>
      </c>
      <c r="N73" s="79">
        <v>12.6482845987925</v>
      </c>
      <c r="O73" s="74">
        <v>0</v>
      </c>
      <c r="P73" s="74">
        <v>1</v>
      </c>
      <c r="Q73" s="74">
        <v>1</v>
      </c>
      <c r="R73" s="74"/>
      <c r="S73" s="74">
        <v>6</v>
      </c>
      <c r="T73" s="74">
        <v>1</v>
      </c>
      <c r="U73" s="79">
        <v>4.2396746546403596</v>
      </c>
      <c r="V73" s="79">
        <v>1.15794461464561</v>
      </c>
      <c r="W73" s="74">
        <v>27.8867102396514</v>
      </c>
      <c r="X73" s="74">
        <v>97.821350762527203</v>
      </c>
      <c r="Y73" s="74">
        <v>0</v>
      </c>
      <c r="Z73" s="74">
        <v>47.712418300653603</v>
      </c>
      <c r="AA73" s="74">
        <v>24.657534246575299</v>
      </c>
      <c r="AB73" s="74">
        <v>30.8333333333333</v>
      </c>
      <c r="AC73" s="74">
        <v>5.3594351622200902</v>
      </c>
      <c r="AD73" s="74">
        <v>9</v>
      </c>
      <c r="AE73" s="74">
        <v>51</v>
      </c>
      <c r="AF73" s="74">
        <v>0.5</v>
      </c>
      <c r="AG73" s="74">
        <v>1</v>
      </c>
      <c r="AH73" s="74">
        <v>6</v>
      </c>
      <c r="AI73" s="80">
        <v>2</v>
      </c>
      <c r="AJ73" s="80">
        <v>2</v>
      </c>
      <c r="AK73" s="80">
        <v>0</v>
      </c>
      <c r="AL73" s="80">
        <v>0</v>
      </c>
      <c r="AM73" s="74">
        <v>0.51402559593397701</v>
      </c>
      <c r="AN73" s="79">
        <v>34.842373033153997</v>
      </c>
      <c r="AO73" s="79">
        <v>5.91265518455321</v>
      </c>
      <c r="AP73" s="79">
        <v>37.164750957854402</v>
      </c>
      <c r="AQ73" s="80">
        <v>0</v>
      </c>
      <c r="AR73" s="80">
        <v>0</v>
      </c>
      <c r="AS73" s="74">
        <v>5</v>
      </c>
      <c r="AT73" s="74">
        <v>4</v>
      </c>
      <c r="AU73" s="80">
        <v>2</v>
      </c>
      <c r="AV73" s="74">
        <v>3</v>
      </c>
      <c r="AW73" s="74">
        <v>0</v>
      </c>
      <c r="AX73" s="74">
        <v>0</v>
      </c>
      <c r="AY73" s="74">
        <v>0</v>
      </c>
      <c r="AZ73" s="74">
        <v>3</v>
      </c>
      <c r="BA73" s="74">
        <v>0</v>
      </c>
      <c r="BC73" s="77">
        <v>8</v>
      </c>
      <c r="BD73" s="73">
        <v>1</v>
      </c>
      <c r="BE73" s="73">
        <v>1</v>
      </c>
      <c r="BF73" s="73">
        <v>0</v>
      </c>
      <c r="BG73" s="73">
        <v>0</v>
      </c>
      <c r="BH73" s="77">
        <v>5.5765152978123202</v>
      </c>
      <c r="BI73" s="78">
        <v>1</v>
      </c>
      <c r="BJ73" s="78">
        <v>1</v>
      </c>
      <c r="BK73" s="78">
        <v>1</v>
      </c>
      <c r="BL73" s="74" t="s">
        <v>155</v>
      </c>
      <c r="BM73" s="74">
        <v>6</v>
      </c>
      <c r="BN73" s="77"/>
      <c r="BO73" s="74">
        <v>2.0189298154378501</v>
      </c>
      <c r="BP73" s="74">
        <v>0.795412045794752</v>
      </c>
      <c r="BQ73" s="74">
        <v>22.875816993464099</v>
      </c>
      <c r="BR73" s="74">
        <v>93.464052287581694</v>
      </c>
      <c r="BS73" s="74">
        <v>0</v>
      </c>
      <c r="BT73" s="74">
        <v>63.725490196078397</v>
      </c>
      <c r="BU73" s="74">
        <v>19.4871794871795</v>
      </c>
      <c r="BV73" s="74">
        <v>28.828828828828801</v>
      </c>
      <c r="BW73" s="74">
        <v>9.3119152728508006</v>
      </c>
      <c r="BX73" s="74"/>
      <c r="BY73" s="74"/>
      <c r="BZ73" s="74"/>
      <c r="CA73" s="74"/>
      <c r="CB73" s="74"/>
      <c r="CC73" s="74"/>
      <c r="CD73" s="74"/>
      <c r="CE73" s="74"/>
      <c r="CF73" s="74" t="s">
        <v>25</v>
      </c>
      <c r="CG73" s="74" t="s">
        <v>25</v>
      </c>
      <c r="CH73" s="74" t="s">
        <v>25</v>
      </c>
      <c r="CI73" s="74" t="s">
        <v>25</v>
      </c>
      <c r="CJ73" s="74" t="s">
        <v>25</v>
      </c>
      <c r="CK73" s="74" t="s">
        <v>25</v>
      </c>
      <c r="CL73" s="74" t="s">
        <v>25</v>
      </c>
      <c r="CM73" s="74" t="s">
        <v>25</v>
      </c>
      <c r="CN73" s="74" t="s">
        <v>25</v>
      </c>
      <c r="CO73" s="74" t="s">
        <v>25</v>
      </c>
      <c r="CP73" s="74"/>
    </row>
    <row r="74" spans="1:94" s="70" customFormat="1">
      <c r="A74" s="69" t="s">
        <v>156</v>
      </c>
      <c r="B74" s="70" t="s">
        <v>41</v>
      </c>
      <c r="C74" s="70" t="s">
        <v>18</v>
      </c>
      <c r="D74" s="71"/>
      <c r="F74" s="72">
        <v>45025</v>
      </c>
      <c r="G74" s="72"/>
      <c r="H74" s="70">
        <v>2</v>
      </c>
      <c r="I74" s="74"/>
      <c r="J74" s="74"/>
      <c r="K74" s="74"/>
      <c r="L74" s="74"/>
      <c r="M74" s="74"/>
      <c r="N74" s="79"/>
      <c r="O74" s="74"/>
      <c r="P74" s="74"/>
      <c r="Q74" s="74"/>
      <c r="R74" s="74"/>
      <c r="S74" s="74">
        <v>3</v>
      </c>
      <c r="T74" s="74"/>
      <c r="U74" s="79">
        <v>11.8962839972663</v>
      </c>
      <c r="V74" s="79">
        <v>0.23821147819080099</v>
      </c>
      <c r="W74" s="74">
        <v>20.879120879120901</v>
      </c>
      <c r="X74" s="74">
        <v>59.3406593406593</v>
      </c>
      <c r="Y74" s="74">
        <v>1</v>
      </c>
      <c r="Z74" s="74">
        <v>70.329670329670293</v>
      </c>
      <c r="AA74" s="74">
        <v>29.6875</v>
      </c>
      <c r="AB74" s="74">
        <v>0</v>
      </c>
      <c r="AC74" s="74">
        <v>2.0066097052477998</v>
      </c>
      <c r="AD74" s="74">
        <f>112-13</f>
        <v>99</v>
      </c>
      <c r="AE74" s="74">
        <v>120</v>
      </c>
      <c r="AF74" s="74">
        <v>1</v>
      </c>
      <c r="AG74" s="74">
        <v>4</v>
      </c>
      <c r="AH74" s="74">
        <v>19</v>
      </c>
      <c r="AI74" s="80">
        <v>2</v>
      </c>
      <c r="AJ74" s="80">
        <v>1</v>
      </c>
      <c r="AK74" s="80">
        <v>12</v>
      </c>
      <c r="AL74" s="80">
        <v>0</v>
      </c>
      <c r="AM74" s="74">
        <v>4.8284773698676799</v>
      </c>
      <c r="AN74" s="79">
        <v>30.474518526828</v>
      </c>
      <c r="AO74" s="79">
        <v>4.8658281392733302</v>
      </c>
      <c r="AP74" s="79">
        <v>48.472641826116103</v>
      </c>
      <c r="AQ74" s="80">
        <v>0</v>
      </c>
      <c r="AR74" s="80">
        <v>0</v>
      </c>
      <c r="AS74" s="74">
        <v>9</v>
      </c>
      <c r="AT74" s="74">
        <v>4</v>
      </c>
      <c r="AU74" s="80">
        <v>2</v>
      </c>
      <c r="AV74" s="74">
        <v>8</v>
      </c>
      <c r="AW74" s="74">
        <v>0</v>
      </c>
      <c r="AX74" s="74">
        <v>0</v>
      </c>
      <c r="AY74" s="74">
        <v>2</v>
      </c>
      <c r="AZ74" s="74">
        <v>5</v>
      </c>
      <c r="BA74" s="74">
        <v>1</v>
      </c>
      <c r="BC74" s="77">
        <v>92</v>
      </c>
      <c r="BD74" s="73">
        <v>5</v>
      </c>
      <c r="BE74" s="73">
        <v>5</v>
      </c>
      <c r="BF74" s="73">
        <v>0</v>
      </c>
      <c r="BG74" s="73">
        <v>5</v>
      </c>
      <c r="BH74" s="77">
        <v>9.3415311667001699</v>
      </c>
      <c r="BI74" s="78">
        <v>2</v>
      </c>
      <c r="BJ74" s="78">
        <v>3</v>
      </c>
      <c r="BK74" s="78">
        <v>1</v>
      </c>
      <c r="BL74" s="74" t="s">
        <v>157</v>
      </c>
      <c r="BM74" s="74">
        <v>4</v>
      </c>
      <c r="BN74" s="77">
        <v>9</v>
      </c>
      <c r="BO74" s="74">
        <v>14.3503298294284</v>
      </c>
      <c r="BP74" s="74">
        <v>7.14769111496667</v>
      </c>
      <c r="BQ74" s="74">
        <v>26.344676180021999</v>
      </c>
      <c r="BR74" s="74">
        <v>73.618733991950194</v>
      </c>
      <c r="BS74" s="74">
        <v>8</v>
      </c>
      <c r="BT74" s="74">
        <v>44.383461397731402</v>
      </c>
      <c r="BU74" s="74">
        <v>26.957955482275398</v>
      </c>
      <c r="BV74" s="74">
        <v>25.855263157894701</v>
      </c>
      <c r="BW74" s="74">
        <v>2.8817723707339802</v>
      </c>
      <c r="BX74" s="74"/>
      <c r="BY74" s="74"/>
      <c r="BZ74" s="74"/>
      <c r="CA74" s="74"/>
      <c r="CB74" s="74"/>
      <c r="CC74" s="74"/>
      <c r="CD74" s="74"/>
      <c r="CE74" s="74"/>
      <c r="CF74" s="74">
        <v>26.315789473684202</v>
      </c>
      <c r="CG74" s="74">
        <v>86.973684210526301</v>
      </c>
      <c r="CH74" s="74">
        <v>3</v>
      </c>
      <c r="CI74" s="74">
        <v>44.7368421052632</v>
      </c>
      <c r="CJ74" s="74">
        <v>40.588235294117602</v>
      </c>
      <c r="CK74" s="74">
        <v>14.7619047619048</v>
      </c>
      <c r="CL74" s="74"/>
      <c r="CM74" s="74"/>
      <c r="CN74" s="74"/>
      <c r="CO74" s="74"/>
      <c r="CP74" s="74"/>
    </row>
    <row r="75" spans="1:94" s="36" customFormat="1" ht="26">
      <c r="A75" s="32"/>
      <c r="B75" s="33"/>
      <c r="C75" s="33"/>
      <c r="D75" s="34"/>
      <c r="E75" s="35" t="s">
        <v>589</v>
      </c>
      <c r="F75" s="33"/>
      <c r="G75" s="33"/>
      <c r="I75" s="96"/>
      <c r="J75" s="96"/>
      <c r="K75" s="96"/>
      <c r="L75" s="96"/>
      <c r="M75" s="96"/>
      <c r="N75" s="99"/>
      <c r="O75" s="96"/>
      <c r="P75" s="96"/>
      <c r="Q75" s="96"/>
      <c r="R75" s="96"/>
      <c r="S75" s="96"/>
      <c r="T75" s="96"/>
      <c r="U75" s="99"/>
      <c r="V75" s="99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9"/>
      <c r="AO75" s="99"/>
      <c r="AP75" s="99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C75" s="96"/>
      <c r="BD75" s="96"/>
      <c r="BE75" s="96"/>
      <c r="BF75" s="96"/>
      <c r="BG75" s="96"/>
      <c r="BH75" s="97"/>
      <c r="BI75" s="98"/>
      <c r="BJ75" s="98"/>
      <c r="BK75" s="98"/>
      <c r="BL75" s="96"/>
      <c r="BM75" s="96"/>
      <c r="BN75" s="96"/>
      <c r="BO75" s="96"/>
      <c r="BP75" s="96"/>
      <c r="BQ75" s="96"/>
      <c r="BR75" s="96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  <c r="CE75" s="96"/>
      <c r="CF75" s="96"/>
      <c r="CG75" s="96"/>
      <c r="CH75" s="96"/>
      <c r="CI75" s="96"/>
      <c r="CJ75" s="96"/>
      <c r="CK75" s="96"/>
      <c r="CL75" s="96"/>
      <c r="CM75" s="96"/>
      <c r="CN75" s="96"/>
      <c r="CO75" s="96"/>
      <c r="CP75" s="96"/>
    </row>
    <row r="76" spans="1:94" s="14" customFormat="1">
      <c r="A76" s="13" t="s">
        <v>158</v>
      </c>
      <c r="B76" s="14" t="s">
        <v>41</v>
      </c>
      <c r="C76" s="14" t="s">
        <v>134</v>
      </c>
      <c r="D76" s="17">
        <f t="shared" ref="D76:D84" si="4">F76-E76</f>
        <v>61</v>
      </c>
      <c r="E76" s="66">
        <v>44179</v>
      </c>
      <c r="F76" s="66">
        <v>44240</v>
      </c>
      <c r="G76" s="66"/>
      <c r="H76" s="14">
        <v>3</v>
      </c>
      <c r="I76" s="45">
        <v>8</v>
      </c>
      <c r="J76" s="45">
        <v>0</v>
      </c>
      <c r="K76" s="45">
        <v>0</v>
      </c>
      <c r="L76" s="45">
        <v>0</v>
      </c>
      <c r="M76" s="45">
        <v>0</v>
      </c>
      <c r="N76" s="60">
        <v>4.5232794474395996</v>
      </c>
      <c r="O76" s="45">
        <v>0</v>
      </c>
      <c r="P76" s="45">
        <v>1</v>
      </c>
      <c r="Q76" s="45">
        <v>0</v>
      </c>
      <c r="R76" s="45"/>
      <c r="S76" s="45">
        <v>8</v>
      </c>
      <c r="T76" s="45">
        <v>0</v>
      </c>
      <c r="U76" s="60">
        <v>10.9583608971154</v>
      </c>
      <c r="V76" s="60">
        <v>0.32524855143325898</v>
      </c>
      <c r="W76" s="45">
        <v>57.070707070707101</v>
      </c>
      <c r="X76" s="45">
        <v>92.424242424242394</v>
      </c>
      <c r="Y76" s="45">
        <v>0</v>
      </c>
      <c r="Z76" s="45">
        <v>81.818181818181799</v>
      </c>
      <c r="AA76" s="45">
        <v>64.814814814814795</v>
      </c>
      <c r="AB76" s="45">
        <v>22.2222222222222</v>
      </c>
      <c r="AC76" s="45">
        <v>8.3396215365147892</v>
      </c>
      <c r="AD76" s="45">
        <v>129</v>
      </c>
      <c r="AE76" s="45">
        <v>170</v>
      </c>
      <c r="AF76" s="45">
        <v>1</v>
      </c>
      <c r="AG76" s="45">
        <v>1</v>
      </c>
      <c r="AH76" s="45">
        <v>28</v>
      </c>
      <c r="AI76" s="23">
        <v>3</v>
      </c>
      <c r="AJ76" s="23">
        <v>3</v>
      </c>
      <c r="AK76" s="23">
        <v>7</v>
      </c>
      <c r="AL76" s="23">
        <v>5</v>
      </c>
      <c r="AM76" s="45">
        <v>7.6292114224091998</v>
      </c>
      <c r="AN76" s="60">
        <v>25.647253260004</v>
      </c>
      <c r="AO76" s="60">
        <v>5.91504621052741</v>
      </c>
      <c r="AP76" s="60">
        <v>42.510330578512402</v>
      </c>
      <c r="AQ76" s="23">
        <v>1</v>
      </c>
      <c r="AR76" s="23">
        <v>1</v>
      </c>
      <c r="AS76" s="45">
        <v>4</v>
      </c>
      <c r="AT76" s="45">
        <v>0</v>
      </c>
      <c r="AU76" s="23">
        <v>2</v>
      </c>
      <c r="AV76" s="45">
        <v>41</v>
      </c>
      <c r="AW76" s="45">
        <v>14</v>
      </c>
      <c r="AX76" s="45">
        <v>19</v>
      </c>
      <c r="AY76" s="45">
        <v>4</v>
      </c>
      <c r="AZ76" s="45">
        <v>3</v>
      </c>
      <c r="BA76" s="45">
        <v>1</v>
      </c>
      <c r="BC76" s="45">
        <v>199</v>
      </c>
      <c r="BD76" s="23">
        <v>3</v>
      </c>
      <c r="BE76" s="45">
        <v>5</v>
      </c>
      <c r="BF76" s="45">
        <v>4</v>
      </c>
      <c r="BG76" s="45">
        <v>0</v>
      </c>
      <c r="BH76" s="30">
        <v>3.0505897339411798</v>
      </c>
      <c r="BI76" s="68">
        <v>3</v>
      </c>
      <c r="BJ76" s="68">
        <v>3</v>
      </c>
      <c r="BK76" s="68">
        <v>2</v>
      </c>
      <c r="BL76" s="45" t="s">
        <v>159</v>
      </c>
      <c r="BM76" s="45">
        <v>8</v>
      </c>
      <c r="BN76" s="45"/>
      <c r="BO76" s="45">
        <v>5.3228813668471204</v>
      </c>
      <c r="BP76" s="45">
        <v>6.1615138399014704</v>
      </c>
      <c r="BQ76" s="45">
        <v>59.742895805142098</v>
      </c>
      <c r="BR76" s="45">
        <v>50.981055480378899</v>
      </c>
      <c r="BS76" s="45">
        <v>8</v>
      </c>
      <c r="BT76" s="45">
        <v>17.828146143437099</v>
      </c>
      <c r="BU76" s="45">
        <v>37.9506641366224</v>
      </c>
      <c r="BV76" s="45">
        <v>64.470975710168801</v>
      </c>
      <c r="BW76" s="45">
        <v>2.4086308583282201</v>
      </c>
      <c r="BX76" s="45"/>
      <c r="BY76" s="45"/>
      <c r="BZ76" s="45"/>
      <c r="CA76" s="45"/>
      <c r="CB76" s="45"/>
      <c r="CC76" s="45"/>
      <c r="CD76" s="45"/>
      <c r="CE76" s="45"/>
      <c r="CF76" s="45">
        <v>31.830008673026899</v>
      </c>
      <c r="CG76" s="45">
        <v>79.531656548135302</v>
      </c>
      <c r="CH76" s="45">
        <v>1</v>
      </c>
      <c r="CI76" s="45">
        <v>41.890719861231602</v>
      </c>
      <c r="CJ76" s="45">
        <v>26.5010351966874</v>
      </c>
      <c r="CK76" s="45">
        <v>35.671641791044799</v>
      </c>
      <c r="CL76" s="45">
        <v>0</v>
      </c>
      <c r="CM76" s="45" t="s">
        <v>458</v>
      </c>
      <c r="CN76" s="45" t="s">
        <v>459</v>
      </c>
      <c r="CO76" s="45" t="s">
        <v>460</v>
      </c>
      <c r="CP76" s="45"/>
    </row>
    <row r="77" spans="1:94" s="14" customFormat="1">
      <c r="A77" s="13" t="s">
        <v>160</v>
      </c>
      <c r="B77" s="14" t="s">
        <v>41</v>
      </c>
      <c r="C77" s="14" t="s">
        <v>134</v>
      </c>
      <c r="D77" s="17">
        <f t="shared" si="4"/>
        <v>61</v>
      </c>
      <c r="E77" s="66">
        <v>44179</v>
      </c>
      <c r="F77" s="66">
        <v>44240</v>
      </c>
      <c r="G77" s="66"/>
      <c r="H77" s="14">
        <v>3</v>
      </c>
      <c r="I77" s="45">
        <f>25-6</f>
        <v>19</v>
      </c>
      <c r="J77" s="45">
        <v>1</v>
      </c>
      <c r="K77" s="45">
        <v>1</v>
      </c>
      <c r="L77" s="45">
        <v>0</v>
      </c>
      <c r="M77" s="45">
        <v>1</v>
      </c>
      <c r="N77" s="60">
        <v>2.0947683063693701</v>
      </c>
      <c r="O77" s="45">
        <v>3</v>
      </c>
      <c r="P77" s="45">
        <v>3</v>
      </c>
      <c r="Q77" s="45">
        <v>2</v>
      </c>
      <c r="R77" s="45"/>
      <c r="S77" s="45">
        <v>4</v>
      </c>
      <c r="T77" s="45">
        <v>2</v>
      </c>
      <c r="U77" s="60">
        <v>10.3563452977577</v>
      </c>
      <c r="V77" s="60">
        <v>1.2468474331677499</v>
      </c>
      <c r="W77" s="45">
        <v>32.053422370617703</v>
      </c>
      <c r="X77" s="45">
        <v>51.085141903172001</v>
      </c>
      <c r="Y77" s="45">
        <v>1</v>
      </c>
      <c r="Z77" s="45">
        <v>72.287145242070096</v>
      </c>
      <c r="AA77" s="45">
        <v>42.494226327944602</v>
      </c>
      <c r="AB77" s="45">
        <v>4.8192771084337398</v>
      </c>
      <c r="AC77" s="45">
        <v>0.66146304434089098</v>
      </c>
      <c r="AD77" s="45">
        <v>38</v>
      </c>
      <c r="AE77" s="45">
        <f>60+77</f>
        <v>137</v>
      </c>
      <c r="AF77" s="45">
        <v>1</v>
      </c>
      <c r="AG77" s="45">
        <v>1</v>
      </c>
      <c r="AH77" s="45">
        <v>15</v>
      </c>
      <c r="AI77" s="23">
        <v>3</v>
      </c>
      <c r="AJ77" s="23">
        <v>2</v>
      </c>
      <c r="AK77" s="23">
        <v>3</v>
      </c>
      <c r="AL77" s="23">
        <v>2</v>
      </c>
      <c r="AM77" s="45">
        <v>1.5089271658824599</v>
      </c>
      <c r="AN77" s="60">
        <v>28.142143317161899</v>
      </c>
      <c r="AO77" s="60">
        <v>3.93886016672257</v>
      </c>
      <c r="AP77" s="60">
        <v>58.956521739130402</v>
      </c>
      <c r="AQ77" s="23">
        <v>2</v>
      </c>
      <c r="AR77" s="23">
        <v>0</v>
      </c>
      <c r="AS77" s="45">
        <v>1</v>
      </c>
      <c r="AT77" s="45">
        <v>3</v>
      </c>
      <c r="AU77" s="23">
        <v>2</v>
      </c>
      <c r="AV77" s="45">
        <v>7</v>
      </c>
      <c r="AW77" s="45">
        <v>0</v>
      </c>
      <c r="AX77" s="45">
        <v>3</v>
      </c>
      <c r="AY77" s="45">
        <v>1</v>
      </c>
      <c r="AZ77" s="45">
        <v>1</v>
      </c>
      <c r="BA77" s="45">
        <v>2</v>
      </c>
      <c r="BC77" s="45">
        <v>40</v>
      </c>
      <c r="BD77" s="23">
        <v>1</v>
      </c>
      <c r="BE77" s="45">
        <v>2</v>
      </c>
      <c r="BF77" s="45">
        <v>0</v>
      </c>
      <c r="BG77" s="45">
        <v>2</v>
      </c>
      <c r="BH77" s="30">
        <v>9.5335464397990393</v>
      </c>
      <c r="BI77" s="68">
        <v>3</v>
      </c>
      <c r="BJ77" s="68">
        <v>3</v>
      </c>
      <c r="BK77" s="68">
        <v>1</v>
      </c>
      <c r="BL77" s="45" t="s">
        <v>161</v>
      </c>
      <c r="BM77" s="45">
        <v>5</v>
      </c>
      <c r="BN77" s="45"/>
      <c r="BO77" s="45">
        <v>5.38528206912481</v>
      </c>
      <c r="BP77" s="45">
        <v>1.75022327144457</v>
      </c>
      <c r="BQ77" s="45">
        <v>44.779982743744597</v>
      </c>
      <c r="BR77" s="45">
        <v>44.866264020707497</v>
      </c>
      <c r="BS77" s="45">
        <v>3</v>
      </c>
      <c r="BT77" s="45">
        <v>56.6867989646247</v>
      </c>
      <c r="BU77" s="45">
        <v>49.923896499239</v>
      </c>
      <c r="BV77" s="45">
        <v>38.0478087649402</v>
      </c>
      <c r="BW77" s="45">
        <v>6.4889975701243703</v>
      </c>
      <c r="BX77" s="45"/>
      <c r="BY77" s="45"/>
      <c r="BZ77" s="45"/>
      <c r="CA77" s="45"/>
      <c r="CB77" s="45"/>
      <c r="CC77" s="45"/>
      <c r="CD77" s="45"/>
      <c r="CE77" s="45"/>
      <c r="CF77" s="45" t="s">
        <v>25</v>
      </c>
      <c r="CG77" s="45" t="s">
        <v>25</v>
      </c>
      <c r="CH77" s="45" t="s">
        <v>25</v>
      </c>
      <c r="CI77" s="45" t="s">
        <v>25</v>
      </c>
      <c r="CJ77" s="45" t="s">
        <v>25</v>
      </c>
      <c r="CK77" s="45" t="s">
        <v>25</v>
      </c>
      <c r="CL77" s="45">
        <v>0</v>
      </c>
      <c r="CM77" s="45" t="s">
        <v>461</v>
      </c>
      <c r="CN77" s="45" t="s">
        <v>462</v>
      </c>
      <c r="CO77" s="45" t="s">
        <v>463</v>
      </c>
      <c r="CP77" s="45"/>
    </row>
    <row r="78" spans="1:94" s="14" customFormat="1">
      <c r="A78" s="13" t="s">
        <v>162</v>
      </c>
      <c r="B78" s="14" t="s">
        <v>17</v>
      </c>
      <c r="C78" s="14" t="s">
        <v>70</v>
      </c>
      <c r="D78" s="17">
        <f t="shared" si="4"/>
        <v>66</v>
      </c>
      <c r="E78" s="66">
        <v>44178</v>
      </c>
      <c r="F78" s="66">
        <v>44244</v>
      </c>
      <c r="G78" s="66"/>
      <c r="H78" s="14">
        <v>3</v>
      </c>
      <c r="I78" s="45">
        <v>30</v>
      </c>
      <c r="J78" s="45">
        <v>1</v>
      </c>
      <c r="K78" s="45">
        <v>1</v>
      </c>
      <c r="L78" s="45">
        <v>0</v>
      </c>
      <c r="M78" s="45">
        <v>0</v>
      </c>
      <c r="N78" s="60">
        <v>7.31647456224223</v>
      </c>
      <c r="O78" s="45">
        <v>3</v>
      </c>
      <c r="P78" s="45">
        <v>3</v>
      </c>
      <c r="Q78" s="45">
        <v>1</v>
      </c>
      <c r="R78" s="45"/>
      <c r="S78" s="45">
        <v>6</v>
      </c>
      <c r="T78" s="45">
        <v>1</v>
      </c>
      <c r="U78" s="60">
        <v>9.4091171835792302</v>
      </c>
      <c r="V78" s="60">
        <v>1.5271167656584299</v>
      </c>
      <c r="W78" s="45">
        <v>49.554565701559</v>
      </c>
      <c r="X78" s="45">
        <v>80.734966592427597</v>
      </c>
      <c r="Y78" s="45">
        <v>3</v>
      </c>
      <c r="Z78" s="45">
        <v>70.601336302895305</v>
      </c>
      <c r="AA78" s="45">
        <v>58.5173501577287</v>
      </c>
      <c r="AB78" s="45">
        <v>28.030303030302999</v>
      </c>
      <c r="AC78" s="45">
        <v>7.8307637127949201</v>
      </c>
      <c r="AD78" s="45">
        <v>10</v>
      </c>
      <c r="AE78" s="45">
        <f>72-6</f>
        <v>66</v>
      </c>
      <c r="AF78" s="45">
        <v>0</v>
      </c>
      <c r="AG78" s="45">
        <v>0</v>
      </c>
      <c r="AH78" s="45">
        <v>7</v>
      </c>
      <c r="AI78" s="23">
        <v>3</v>
      </c>
      <c r="AJ78" s="23">
        <v>3</v>
      </c>
      <c r="AK78" s="23">
        <v>0</v>
      </c>
      <c r="AL78" s="23">
        <v>0</v>
      </c>
      <c r="AM78" s="45">
        <v>0.59430509892521199</v>
      </c>
      <c r="AN78" s="60">
        <v>43.171161575807098</v>
      </c>
      <c r="AO78" s="60">
        <v>5.9276984694615402</v>
      </c>
      <c r="AP78" s="60">
        <v>48.837209302325597</v>
      </c>
      <c r="AQ78" s="23">
        <v>1</v>
      </c>
      <c r="AR78" s="23">
        <v>1</v>
      </c>
      <c r="AS78" s="45">
        <v>4</v>
      </c>
      <c r="AT78" s="45">
        <v>5</v>
      </c>
      <c r="AU78" s="23">
        <v>1</v>
      </c>
      <c r="AV78" s="45">
        <v>3</v>
      </c>
      <c r="AW78" s="45">
        <v>0</v>
      </c>
      <c r="AX78" s="45">
        <v>0</v>
      </c>
      <c r="AY78" s="45">
        <v>0</v>
      </c>
      <c r="AZ78" s="45">
        <v>3</v>
      </c>
      <c r="BA78" s="45">
        <v>0</v>
      </c>
      <c r="BC78" s="45">
        <v>12</v>
      </c>
      <c r="BD78" s="23">
        <v>0</v>
      </c>
      <c r="BE78" s="45">
        <v>0</v>
      </c>
      <c r="BF78" s="45">
        <v>0</v>
      </c>
      <c r="BG78" s="45">
        <v>0</v>
      </c>
      <c r="BH78" s="30">
        <v>4.6416717481146197</v>
      </c>
      <c r="BI78" s="68">
        <v>0</v>
      </c>
      <c r="BJ78" s="68">
        <v>1</v>
      </c>
      <c r="BK78" s="68">
        <v>0</v>
      </c>
      <c r="BL78" s="45" t="s">
        <v>163</v>
      </c>
      <c r="BM78" s="45">
        <v>11</v>
      </c>
      <c r="BN78" s="45"/>
      <c r="BO78" s="45">
        <v>6.1550239350038796</v>
      </c>
      <c r="BP78" s="45">
        <v>0.39650918210388802</v>
      </c>
      <c r="BQ78" s="45">
        <v>53.0744336569579</v>
      </c>
      <c r="BR78" s="45">
        <v>100</v>
      </c>
      <c r="BS78" s="45">
        <v>0</v>
      </c>
      <c r="BT78" s="45">
        <v>69.255663430420697</v>
      </c>
      <c r="BU78" s="45">
        <v>64.018691588785103</v>
      </c>
      <c r="BV78" s="45">
        <v>28.421052631578998</v>
      </c>
      <c r="BW78" s="45">
        <v>7.6128698282545901</v>
      </c>
      <c r="BX78" s="45"/>
      <c r="BY78" s="45"/>
      <c r="BZ78" s="45"/>
      <c r="CA78" s="45"/>
      <c r="CB78" s="45"/>
      <c r="CC78" s="45"/>
      <c r="CD78" s="45"/>
      <c r="CE78" s="45"/>
      <c r="CF78" s="45" t="s">
        <v>25</v>
      </c>
      <c r="CG78" s="45" t="s">
        <v>25</v>
      </c>
      <c r="CH78" s="45" t="s">
        <v>25</v>
      </c>
      <c r="CI78" s="45" t="s">
        <v>25</v>
      </c>
      <c r="CJ78" s="45" t="s">
        <v>25</v>
      </c>
      <c r="CK78" s="45" t="s">
        <v>25</v>
      </c>
      <c r="CL78" s="45" t="s">
        <v>25</v>
      </c>
      <c r="CM78" s="45" t="s">
        <v>25</v>
      </c>
      <c r="CN78" s="45" t="s">
        <v>25</v>
      </c>
      <c r="CO78" s="45" t="s">
        <v>25</v>
      </c>
      <c r="CP78" s="45"/>
    </row>
    <row r="79" spans="1:94" s="14" customFormat="1">
      <c r="A79" s="13" t="s">
        <v>164</v>
      </c>
      <c r="B79" s="14" t="s">
        <v>17</v>
      </c>
      <c r="C79" s="14" t="s">
        <v>70</v>
      </c>
      <c r="D79" s="17">
        <f t="shared" si="4"/>
        <v>60</v>
      </c>
      <c r="E79" s="66">
        <v>44184</v>
      </c>
      <c r="F79" s="66">
        <v>44244</v>
      </c>
      <c r="G79" s="66"/>
      <c r="H79" s="14">
        <v>3</v>
      </c>
      <c r="I79" s="45">
        <v>5</v>
      </c>
      <c r="J79" s="45">
        <v>1</v>
      </c>
      <c r="K79" s="45">
        <v>0</v>
      </c>
      <c r="L79" s="45">
        <v>0</v>
      </c>
      <c r="M79" s="45">
        <v>0</v>
      </c>
      <c r="N79" s="60">
        <v>5.4476727922741803</v>
      </c>
      <c r="O79" s="45">
        <v>1</v>
      </c>
      <c r="P79" s="45">
        <v>3</v>
      </c>
      <c r="Q79" s="45">
        <v>1</v>
      </c>
      <c r="R79" s="45"/>
      <c r="S79" s="45">
        <v>5</v>
      </c>
      <c r="T79" s="45">
        <v>0</v>
      </c>
      <c r="U79" s="60">
        <v>7.9532319192679797</v>
      </c>
      <c r="V79" s="60">
        <v>0.263673909255421</v>
      </c>
      <c r="W79" s="45">
        <v>38.0597014925373</v>
      </c>
      <c r="X79" s="45">
        <v>100</v>
      </c>
      <c r="Y79" s="45">
        <v>0</v>
      </c>
      <c r="Z79" s="45">
        <v>67.910447761194007</v>
      </c>
      <c r="AA79" s="45">
        <v>31.868131868131901</v>
      </c>
      <c r="AB79" s="45">
        <v>51.162790697674403</v>
      </c>
      <c r="AC79" s="45">
        <v>9.4065420228209504</v>
      </c>
      <c r="AD79" s="45">
        <v>160</v>
      </c>
      <c r="AE79" s="45">
        <v>192</v>
      </c>
      <c r="AF79" s="45">
        <v>0.5</v>
      </c>
      <c r="AG79" s="45">
        <v>0.5</v>
      </c>
      <c r="AH79" s="45">
        <v>30</v>
      </c>
      <c r="AI79" s="92">
        <v>3</v>
      </c>
      <c r="AJ79" s="23">
        <v>3</v>
      </c>
      <c r="AK79" s="23">
        <v>14</v>
      </c>
      <c r="AL79" s="23">
        <v>17</v>
      </c>
      <c r="AM79" s="45">
        <v>8.7484544670014408</v>
      </c>
      <c r="AN79" s="60">
        <v>31.736109085568401</v>
      </c>
      <c r="AO79" s="60">
        <v>5.47673064126508</v>
      </c>
      <c r="AP79" s="60">
        <v>47.466110531803999</v>
      </c>
      <c r="AQ79" s="23">
        <v>1</v>
      </c>
      <c r="AR79" s="23">
        <v>1</v>
      </c>
      <c r="AS79" s="45">
        <v>5</v>
      </c>
      <c r="AT79" s="45">
        <v>0</v>
      </c>
      <c r="AU79" s="23">
        <v>1</v>
      </c>
      <c r="AV79" s="45">
        <v>19</v>
      </c>
      <c r="AW79" s="45">
        <v>2</v>
      </c>
      <c r="AX79" s="45">
        <v>6</v>
      </c>
      <c r="AY79" s="45">
        <v>4</v>
      </c>
      <c r="AZ79" s="45">
        <v>6</v>
      </c>
      <c r="BA79" s="45">
        <v>1</v>
      </c>
      <c r="BC79" s="45">
        <v>5</v>
      </c>
      <c r="BD79" s="23">
        <v>0</v>
      </c>
      <c r="BE79" s="45">
        <v>0</v>
      </c>
      <c r="BF79" s="45">
        <v>0</v>
      </c>
      <c r="BG79" s="45">
        <v>0</v>
      </c>
      <c r="BH79" s="30">
        <v>8.7256794159820998</v>
      </c>
      <c r="BI79" s="68">
        <v>2</v>
      </c>
      <c r="BJ79" s="68">
        <v>1</v>
      </c>
      <c r="BK79" s="68">
        <v>1</v>
      </c>
      <c r="BL79" s="45" t="s">
        <v>165</v>
      </c>
      <c r="BM79" s="23">
        <v>5</v>
      </c>
      <c r="BN79" s="45"/>
      <c r="BO79" s="45">
        <v>9.4418533571794505</v>
      </c>
      <c r="BP79" s="45">
        <v>0.373833638506883</v>
      </c>
      <c r="BQ79" s="45">
        <v>16.129032258064498</v>
      </c>
      <c r="BR79" s="45">
        <v>83.064516129032299</v>
      </c>
      <c r="BS79" s="45">
        <v>0</v>
      </c>
      <c r="BT79" s="45">
        <v>53.225806451612897</v>
      </c>
      <c r="BU79" s="45">
        <v>6.0606060606060597</v>
      </c>
      <c r="BV79" s="45">
        <v>27.586206896551701</v>
      </c>
      <c r="BW79" s="45">
        <v>7.62054623615116</v>
      </c>
      <c r="BX79" s="45"/>
      <c r="BY79" s="45"/>
      <c r="BZ79" s="45"/>
      <c r="CA79" s="45"/>
      <c r="CB79" s="45"/>
      <c r="CC79" s="45"/>
      <c r="CD79" s="45"/>
      <c r="CE79" s="45"/>
      <c r="CF79" s="45" t="s">
        <v>25</v>
      </c>
      <c r="CG79" s="45" t="s">
        <v>25</v>
      </c>
      <c r="CH79" s="45" t="s">
        <v>25</v>
      </c>
      <c r="CI79" s="45" t="s">
        <v>25</v>
      </c>
      <c r="CJ79" s="45" t="s">
        <v>25</v>
      </c>
      <c r="CK79" s="45" t="s">
        <v>25</v>
      </c>
      <c r="CL79" s="45" t="s">
        <v>25</v>
      </c>
      <c r="CM79" s="45" t="s">
        <v>25</v>
      </c>
      <c r="CN79" s="45" t="s">
        <v>25</v>
      </c>
      <c r="CO79" s="45" t="s">
        <v>25</v>
      </c>
      <c r="CP79" s="45"/>
    </row>
    <row r="80" spans="1:94" s="14" customFormat="1">
      <c r="A80" s="13" t="s">
        <v>166</v>
      </c>
      <c r="B80" s="14" t="s">
        <v>17</v>
      </c>
      <c r="C80" s="14" t="s">
        <v>134</v>
      </c>
      <c r="D80" s="17">
        <f t="shared" si="4"/>
        <v>64</v>
      </c>
      <c r="E80" s="66">
        <v>44201</v>
      </c>
      <c r="F80" s="66">
        <v>44265</v>
      </c>
      <c r="G80" s="66"/>
      <c r="H80" s="14">
        <v>3</v>
      </c>
      <c r="I80" s="45">
        <v>34</v>
      </c>
      <c r="J80" s="45">
        <v>0</v>
      </c>
      <c r="K80" s="45">
        <v>0</v>
      </c>
      <c r="L80" s="45">
        <v>0</v>
      </c>
      <c r="M80" s="45">
        <v>0</v>
      </c>
      <c r="N80" s="60">
        <v>10.830827171860999</v>
      </c>
      <c r="O80" s="45">
        <v>0</v>
      </c>
      <c r="P80" s="45">
        <v>1</v>
      </c>
      <c r="Q80" s="45">
        <v>0</v>
      </c>
      <c r="R80" s="45"/>
      <c r="S80" s="45">
        <v>10</v>
      </c>
      <c r="T80" s="45">
        <v>1</v>
      </c>
      <c r="U80" s="60">
        <v>1.87218373591522</v>
      </c>
      <c r="V80" s="60">
        <v>1.13759071509724</v>
      </c>
      <c r="W80" s="45">
        <v>73.128598848368497</v>
      </c>
      <c r="X80" s="45">
        <v>98.272552783109404</v>
      </c>
      <c r="Y80" s="45">
        <v>0</v>
      </c>
      <c r="Z80" s="45">
        <v>77.543186180422296</v>
      </c>
      <c r="AA80" s="45">
        <v>85.396039603960403</v>
      </c>
      <c r="AB80" s="45">
        <v>30.769230769230798</v>
      </c>
      <c r="AC80" s="45">
        <v>4.9352147215253801</v>
      </c>
      <c r="AD80" s="45">
        <v>2.5</v>
      </c>
      <c r="AE80" s="45">
        <v>60</v>
      </c>
      <c r="AF80" s="45">
        <v>0.5</v>
      </c>
      <c r="AG80" s="45">
        <v>0.5</v>
      </c>
      <c r="AH80" s="45">
        <v>2</v>
      </c>
      <c r="AI80" s="23">
        <v>3</v>
      </c>
      <c r="AJ80" s="23">
        <v>3</v>
      </c>
      <c r="AK80" s="23">
        <v>0</v>
      </c>
      <c r="AL80" s="23">
        <v>0</v>
      </c>
      <c r="AM80" s="45">
        <v>0.21336806917507301</v>
      </c>
      <c r="AN80" s="60">
        <v>32.311213482698498</v>
      </c>
      <c r="AO80" s="60">
        <v>8.3184141529949809</v>
      </c>
      <c r="AP80" s="60">
        <v>15.5844155844156</v>
      </c>
      <c r="AQ80" s="23">
        <v>0</v>
      </c>
      <c r="AR80" s="23">
        <v>0</v>
      </c>
      <c r="AS80" s="45">
        <v>2</v>
      </c>
      <c r="AT80" s="45">
        <v>11</v>
      </c>
      <c r="AU80" s="23">
        <v>1</v>
      </c>
      <c r="AV80" s="45">
        <v>2</v>
      </c>
      <c r="AW80" s="45">
        <v>0</v>
      </c>
      <c r="AX80" s="45">
        <v>0</v>
      </c>
      <c r="AY80" s="45">
        <v>0</v>
      </c>
      <c r="AZ80" s="45">
        <v>2</v>
      </c>
      <c r="BA80" s="45">
        <v>0</v>
      </c>
      <c r="BC80" s="45">
        <v>330</v>
      </c>
      <c r="BD80" s="23">
        <v>5</v>
      </c>
      <c r="BE80" s="23">
        <v>6</v>
      </c>
      <c r="BF80" s="23">
        <v>1</v>
      </c>
      <c r="BG80" s="23">
        <v>1</v>
      </c>
      <c r="BH80" s="30">
        <v>1.9389453921914099</v>
      </c>
      <c r="BI80" s="68">
        <v>3</v>
      </c>
      <c r="BJ80" s="68">
        <v>3</v>
      </c>
      <c r="BK80" s="68">
        <v>3</v>
      </c>
      <c r="BL80" s="45" t="s">
        <v>167</v>
      </c>
      <c r="BM80" s="23">
        <f>32-6</f>
        <v>26</v>
      </c>
      <c r="BN80" s="45"/>
      <c r="BO80" s="45">
        <v>9.2466755009994295E-2</v>
      </c>
      <c r="BP80" s="45">
        <v>8.5021343897949198</v>
      </c>
      <c r="BQ80" s="45">
        <v>63.625304136253</v>
      </c>
      <c r="BR80" s="45">
        <v>53.031224655312201</v>
      </c>
      <c r="BS80" s="45">
        <v>19</v>
      </c>
      <c r="BT80" s="45">
        <v>60.097323600973198</v>
      </c>
      <c r="BU80" s="45">
        <v>63.596491228070199</v>
      </c>
      <c r="BV80" s="45">
        <v>63.668699186991901</v>
      </c>
      <c r="BW80" s="45">
        <v>1.3774755439014601</v>
      </c>
      <c r="BX80" s="45"/>
      <c r="BY80" s="45"/>
      <c r="BZ80" s="45"/>
      <c r="CA80" s="45"/>
      <c r="CB80" s="45"/>
      <c r="CC80" s="45"/>
      <c r="CD80" s="45"/>
      <c r="CE80" s="45"/>
      <c r="CF80" s="45">
        <v>70.713429256594694</v>
      </c>
      <c r="CG80" s="45">
        <v>64.958033573141506</v>
      </c>
      <c r="CH80" s="45">
        <v>2</v>
      </c>
      <c r="CI80" s="45">
        <v>42.655875299760197</v>
      </c>
      <c r="CJ80" s="45">
        <v>68.376669009135597</v>
      </c>
      <c r="CK80" s="45">
        <v>72.451646628332497</v>
      </c>
      <c r="CL80" s="45">
        <v>0</v>
      </c>
      <c r="CM80" s="45" t="s">
        <v>464</v>
      </c>
      <c r="CN80" s="45" t="s">
        <v>465</v>
      </c>
      <c r="CO80" s="45" t="s">
        <v>466</v>
      </c>
      <c r="CP80" s="45"/>
    </row>
    <row r="81" spans="1:94" s="14" customFormat="1">
      <c r="A81" s="13" t="s">
        <v>168</v>
      </c>
      <c r="B81" s="14" t="s">
        <v>17</v>
      </c>
      <c r="C81" s="14" t="s">
        <v>134</v>
      </c>
      <c r="D81" s="17">
        <f t="shared" si="4"/>
        <v>64</v>
      </c>
      <c r="E81" s="66">
        <v>44201</v>
      </c>
      <c r="F81" s="66">
        <v>44265</v>
      </c>
      <c r="G81" s="66"/>
      <c r="H81" s="14">
        <v>3</v>
      </c>
      <c r="I81" s="45">
        <v>44</v>
      </c>
      <c r="J81" s="45">
        <v>1</v>
      </c>
      <c r="K81" s="45">
        <v>0</v>
      </c>
      <c r="L81" s="45">
        <v>0</v>
      </c>
      <c r="M81" s="45">
        <v>0</v>
      </c>
      <c r="N81" s="60">
        <v>7.4545834424209501</v>
      </c>
      <c r="O81" s="45">
        <v>0</v>
      </c>
      <c r="P81" s="45">
        <v>1</v>
      </c>
      <c r="Q81" s="45">
        <v>1</v>
      </c>
      <c r="R81" s="45"/>
      <c r="S81" s="81">
        <v>3</v>
      </c>
      <c r="T81" s="45">
        <v>1</v>
      </c>
      <c r="U81" s="60">
        <v>10.2196225292384</v>
      </c>
      <c r="V81" s="60">
        <v>1.8268186597608</v>
      </c>
      <c r="W81" s="45">
        <v>56.700232378001601</v>
      </c>
      <c r="X81" s="45">
        <v>97.443841982958901</v>
      </c>
      <c r="Y81" s="45">
        <v>0</v>
      </c>
      <c r="Z81" s="45">
        <v>41.285824941905503</v>
      </c>
      <c r="AA81" s="45">
        <v>70.919324577861204</v>
      </c>
      <c r="AB81" s="45">
        <v>46.701846965699197</v>
      </c>
      <c r="AC81" s="45">
        <v>2.6595404279802599</v>
      </c>
      <c r="AD81" s="45">
        <v>5.5</v>
      </c>
      <c r="AE81" s="45">
        <v>65</v>
      </c>
      <c r="AF81" s="45">
        <v>0</v>
      </c>
      <c r="AG81" s="45">
        <v>0</v>
      </c>
      <c r="AH81" s="45">
        <v>5</v>
      </c>
      <c r="AI81" s="23">
        <v>3</v>
      </c>
      <c r="AJ81" s="23">
        <v>3</v>
      </c>
      <c r="AK81" s="23">
        <v>0</v>
      </c>
      <c r="AL81" s="23">
        <v>0</v>
      </c>
      <c r="AM81" s="45">
        <v>0.15423609098201799</v>
      </c>
      <c r="AN81" s="60">
        <v>18.5178895554589</v>
      </c>
      <c r="AO81" s="60">
        <v>2.7562200252495401</v>
      </c>
      <c r="AP81" s="60">
        <v>67.261904761904802</v>
      </c>
      <c r="AQ81" s="23">
        <v>0</v>
      </c>
      <c r="AR81" s="23">
        <v>0</v>
      </c>
      <c r="AS81" s="45">
        <v>3</v>
      </c>
      <c r="AT81" s="45">
        <v>4</v>
      </c>
      <c r="AU81" s="23">
        <v>2</v>
      </c>
      <c r="AV81" s="45">
        <v>2</v>
      </c>
      <c r="AW81" s="45">
        <v>0</v>
      </c>
      <c r="AX81" s="45">
        <v>0</v>
      </c>
      <c r="AY81" s="45">
        <v>0</v>
      </c>
      <c r="AZ81" s="45">
        <v>2</v>
      </c>
      <c r="BA81" s="45">
        <v>0</v>
      </c>
      <c r="BC81" s="45">
        <f>141-6</f>
        <v>135</v>
      </c>
      <c r="BD81" s="23">
        <v>1</v>
      </c>
      <c r="BE81" s="23">
        <v>1</v>
      </c>
      <c r="BF81" s="23">
        <v>1</v>
      </c>
      <c r="BG81" s="23">
        <v>1</v>
      </c>
      <c r="BH81" s="30">
        <v>7.9455957910171602</v>
      </c>
      <c r="BI81" s="68">
        <v>1</v>
      </c>
      <c r="BJ81" s="68">
        <v>1</v>
      </c>
      <c r="BK81" s="68">
        <v>3</v>
      </c>
      <c r="BL81" s="45" t="s">
        <v>169</v>
      </c>
      <c r="BM81" s="23">
        <v>3</v>
      </c>
      <c r="BN81" s="45"/>
      <c r="BO81" s="45">
        <v>7.7969256461855601</v>
      </c>
      <c r="BP81" s="45">
        <v>1.98438948011021</v>
      </c>
      <c r="BQ81" s="45">
        <v>80.442345924453306</v>
      </c>
      <c r="BR81" s="45">
        <v>95.651093439363805</v>
      </c>
      <c r="BS81" s="45">
        <v>1</v>
      </c>
      <c r="BT81" s="45">
        <v>49.080516898608401</v>
      </c>
      <c r="BU81" s="45">
        <v>78.329113924050603</v>
      </c>
      <c r="BV81" s="45">
        <v>82.479258174719405</v>
      </c>
      <c r="BW81" s="45">
        <v>5.6381357232319704</v>
      </c>
      <c r="BX81" s="45"/>
      <c r="BY81" s="45"/>
      <c r="BZ81" s="45"/>
      <c r="CA81" s="45"/>
      <c r="CB81" s="45"/>
      <c r="CC81" s="45"/>
      <c r="CD81" s="45"/>
      <c r="CE81" s="45"/>
      <c r="CF81" s="45" t="s">
        <v>25</v>
      </c>
      <c r="CG81" s="45" t="s">
        <v>25</v>
      </c>
      <c r="CH81" s="45" t="s">
        <v>25</v>
      </c>
      <c r="CI81" s="45" t="s">
        <v>25</v>
      </c>
      <c r="CJ81" s="45" t="s">
        <v>25</v>
      </c>
      <c r="CK81" s="45" t="s">
        <v>25</v>
      </c>
      <c r="CL81" s="45" t="s">
        <v>467</v>
      </c>
      <c r="CM81" s="45" t="s">
        <v>468</v>
      </c>
      <c r="CN81" s="45" t="s">
        <v>469</v>
      </c>
      <c r="CO81" s="45" t="s">
        <v>470</v>
      </c>
      <c r="CP81" s="45"/>
    </row>
    <row r="82" spans="1:94" s="14" customFormat="1">
      <c r="A82" s="13" t="s">
        <v>170</v>
      </c>
      <c r="B82" s="14" t="s">
        <v>17</v>
      </c>
      <c r="C82" s="14" t="s">
        <v>134</v>
      </c>
      <c r="D82" s="17">
        <f t="shared" si="4"/>
        <v>61</v>
      </c>
      <c r="E82" s="66">
        <v>44204</v>
      </c>
      <c r="F82" s="66">
        <v>44265</v>
      </c>
      <c r="G82" s="66"/>
      <c r="H82" s="14">
        <v>3</v>
      </c>
      <c r="I82" s="45">
        <v>5</v>
      </c>
      <c r="J82" s="45">
        <v>1</v>
      </c>
      <c r="K82" s="45">
        <v>0</v>
      </c>
      <c r="L82" s="45">
        <v>0</v>
      </c>
      <c r="M82" s="45">
        <v>0</v>
      </c>
      <c r="N82" s="60">
        <v>5.2593578121753302</v>
      </c>
      <c r="O82" s="45">
        <v>0</v>
      </c>
      <c r="P82" s="45">
        <v>1</v>
      </c>
      <c r="Q82" s="45">
        <v>0</v>
      </c>
      <c r="R82" s="45"/>
      <c r="S82" s="45">
        <v>5</v>
      </c>
      <c r="T82" s="45">
        <v>1</v>
      </c>
      <c r="U82" s="60">
        <v>14.1412941792348</v>
      </c>
      <c r="V82" s="60">
        <v>0.37291342436633002</v>
      </c>
      <c r="W82" s="45">
        <v>34.7826086956522</v>
      </c>
      <c r="X82" s="45">
        <v>100</v>
      </c>
      <c r="Y82" s="45">
        <v>0</v>
      </c>
      <c r="Z82" s="45">
        <v>69.565217391304301</v>
      </c>
      <c r="AA82" s="45">
        <v>48.9583333333333</v>
      </c>
      <c r="AB82" s="45">
        <v>2.38095238095238</v>
      </c>
      <c r="AC82" s="45">
        <v>0.77925679554343297</v>
      </c>
      <c r="AD82" s="45">
        <v>3</v>
      </c>
      <c r="AE82" s="45">
        <v>32</v>
      </c>
      <c r="AF82" s="45">
        <v>0</v>
      </c>
      <c r="AG82" s="45">
        <v>0</v>
      </c>
      <c r="AH82" s="45">
        <v>0.5</v>
      </c>
      <c r="AI82" s="23">
        <v>1</v>
      </c>
      <c r="AJ82" s="23">
        <v>2</v>
      </c>
      <c r="AK82" s="23">
        <v>1</v>
      </c>
      <c r="AL82" s="23">
        <v>0</v>
      </c>
      <c r="AM82" s="45">
        <v>0.10536713299926199</v>
      </c>
      <c r="AN82" s="60">
        <v>24.987744816697901</v>
      </c>
      <c r="AO82" s="60">
        <v>1.2858584626856799</v>
      </c>
      <c r="AP82" s="60">
        <v>84.959349593495901</v>
      </c>
      <c r="AQ82" s="23">
        <v>0</v>
      </c>
      <c r="AR82" s="23">
        <v>0</v>
      </c>
      <c r="AS82" s="45">
        <v>1</v>
      </c>
      <c r="AT82" s="45">
        <v>3</v>
      </c>
      <c r="AU82" s="23">
        <v>3</v>
      </c>
      <c r="AV82" s="45">
        <v>1</v>
      </c>
      <c r="AW82" s="45">
        <v>0</v>
      </c>
      <c r="AX82" s="45">
        <v>0</v>
      </c>
      <c r="AY82" s="45">
        <v>1</v>
      </c>
      <c r="AZ82" s="45">
        <v>0</v>
      </c>
      <c r="BA82" s="45">
        <v>0</v>
      </c>
      <c r="BC82" s="45">
        <v>258</v>
      </c>
      <c r="BD82" s="23">
        <v>4</v>
      </c>
      <c r="BE82" s="23">
        <v>3</v>
      </c>
      <c r="BF82" s="23">
        <v>1</v>
      </c>
      <c r="BG82" s="23">
        <v>1</v>
      </c>
      <c r="BH82" s="30">
        <v>1.56849023052494</v>
      </c>
      <c r="BI82" s="68">
        <v>2</v>
      </c>
      <c r="BJ82" s="68">
        <v>3</v>
      </c>
      <c r="BK82" s="68">
        <v>3</v>
      </c>
      <c r="BL82" s="45" t="s">
        <v>171</v>
      </c>
      <c r="BM82" s="23">
        <v>1</v>
      </c>
      <c r="BN82" s="45"/>
      <c r="BO82" s="45">
        <v>12.537329423290499</v>
      </c>
      <c r="BP82" s="45">
        <v>5.3808349671291298</v>
      </c>
      <c r="BQ82" s="45">
        <v>71.601404969428899</v>
      </c>
      <c r="BR82" s="45">
        <v>63.314687134122501</v>
      </c>
      <c r="BS82" s="45">
        <v>8</v>
      </c>
      <c r="BT82" s="45">
        <v>26.746455053987301</v>
      </c>
      <c r="BU82" s="45">
        <v>64.105058365758794</v>
      </c>
      <c r="BV82" s="45">
        <v>74.338483395489305</v>
      </c>
      <c r="BW82" s="45">
        <v>0.50960796451733703</v>
      </c>
      <c r="BX82" s="45"/>
      <c r="BY82" s="45"/>
      <c r="BZ82" s="45"/>
      <c r="CA82" s="45"/>
      <c r="CB82" s="45"/>
      <c r="CC82" s="45"/>
      <c r="CD82" s="45"/>
      <c r="CE82" s="45"/>
      <c r="CF82" s="45">
        <v>70.516431924882596</v>
      </c>
      <c r="CG82" s="45">
        <v>78.622848200313001</v>
      </c>
      <c r="CH82" s="45">
        <v>3</v>
      </c>
      <c r="CI82" s="45">
        <v>39.0923317683881</v>
      </c>
      <c r="CJ82" s="45">
        <v>65.892714171337104</v>
      </c>
      <c r="CK82" s="45">
        <v>73.484069886947594</v>
      </c>
      <c r="CL82" s="45" t="s">
        <v>471</v>
      </c>
      <c r="CM82" s="45" t="s">
        <v>472</v>
      </c>
      <c r="CN82" s="45" t="s">
        <v>473</v>
      </c>
      <c r="CO82" s="45" t="s">
        <v>474</v>
      </c>
      <c r="CP82" s="45"/>
    </row>
    <row r="83" spans="1:94" s="14" customFormat="1">
      <c r="A83" s="13" t="s">
        <v>172</v>
      </c>
      <c r="B83" s="14" t="s">
        <v>17</v>
      </c>
      <c r="C83" s="14" t="s">
        <v>134</v>
      </c>
      <c r="D83" s="17">
        <f t="shared" si="4"/>
        <v>60</v>
      </c>
      <c r="E83" s="66">
        <v>44205</v>
      </c>
      <c r="F83" s="66">
        <v>44265</v>
      </c>
      <c r="G83" s="66"/>
      <c r="H83" s="14">
        <v>3</v>
      </c>
      <c r="I83" s="45">
        <v>16</v>
      </c>
      <c r="J83" s="45">
        <v>1</v>
      </c>
      <c r="K83" s="45">
        <v>1</v>
      </c>
      <c r="L83" s="45">
        <v>1</v>
      </c>
      <c r="M83" s="45">
        <v>0</v>
      </c>
      <c r="N83" s="60">
        <v>3.1134016510326599</v>
      </c>
      <c r="O83" s="45">
        <v>0</v>
      </c>
      <c r="P83" s="45">
        <v>1</v>
      </c>
      <c r="Q83" s="45">
        <v>1</v>
      </c>
      <c r="R83" s="45"/>
      <c r="S83" s="45">
        <v>6</v>
      </c>
      <c r="T83" s="45">
        <v>1</v>
      </c>
      <c r="U83" s="60">
        <v>6.2314860570069301</v>
      </c>
      <c r="V83" s="60">
        <v>1.0525858034939299</v>
      </c>
      <c r="W83" s="45">
        <v>30.1149425287356</v>
      </c>
      <c r="X83" s="45">
        <v>100</v>
      </c>
      <c r="Y83" s="45">
        <v>0</v>
      </c>
      <c r="Z83" s="45">
        <v>57.471264367816097</v>
      </c>
      <c r="AA83" s="45">
        <v>36.799999999999997</v>
      </c>
      <c r="AB83" s="45">
        <v>21.081081081081098</v>
      </c>
      <c r="AC83" s="45">
        <v>6.5803417308385601</v>
      </c>
      <c r="AD83" s="45">
        <v>4</v>
      </c>
      <c r="AE83" s="45">
        <v>45</v>
      </c>
      <c r="AF83" s="45">
        <v>0.5</v>
      </c>
      <c r="AG83" s="45">
        <v>0.5</v>
      </c>
      <c r="AH83" s="45">
        <v>1.5</v>
      </c>
      <c r="AI83" s="23">
        <v>2</v>
      </c>
      <c r="AJ83" s="23">
        <v>3</v>
      </c>
      <c r="AK83" s="23">
        <v>0</v>
      </c>
      <c r="AL83" s="23">
        <v>0</v>
      </c>
      <c r="AM83" s="45">
        <v>0.17333329757342</v>
      </c>
      <c r="AN83" s="60">
        <v>14.6828190491887</v>
      </c>
      <c r="AO83" s="60">
        <v>4.4100879040779999</v>
      </c>
      <c r="AP83" s="60">
        <v>26.271186440678001</v>
      </c>
      <c r="AQ83" s="23">
        <v>0</v>
      </c>
      <c r="AR83" s="23">
        <v>0</v>
      </c>
      <c r="AS83" s="45">
        <v>2</v>
      </c>
      <c r="AT83" s="45">
        <v>5</v>
      </c>
      <c r="AU83" s="23">
        <v>1</v>
      </c>
      <c r="AV83" s="45">
        <v>2</v>
      </c>
      <c r="AW83" s="45">
        <v>0</v>
      </c>
      <c r="AX83" s="45">
        <v>0</v>
      </c>
      <c r="AY83" s="45">
        <v>2</v>
      </c>
      <c r="AZ83" s="45">
        <v>0</v>
      </c>
      <c r="BA83" s="45">
        <v>0</v>
      </c>
      <c r="BC83" s="45">
        <v>600</v>
      </c>
      <c r="BD83" s="23">
        <v>6</v>
      </c>
      <c r="BE83" s="23">
        <v>6</v>
      </c>
      <c r="BF83" s="23">
        <v>5</v>
      </c>
      <c r="BG83" s="23">
        <v>0</v>
      </c>
      <c r="BH83" s="30" t="s">
        <v>25</v>
      </c>
      <c r="BI83" s="68">
        <v>5</v>
      </c>
      <c r="BJ83" s="68">
        <v>5</v>
      </c>
      <c r="BK83" s="68">
        <v>5</v>
      </c>
      <c r="BL83" s="45" t="s">
        <v>173</v>
      </c>
      <c r="BM83" s="23">
        <v>3</v>
      </c>
      <c r="BN83" s="45"/>
      <c r="BO83" s="45">
        <v>5.7689851050286602</v>
      </c>
      <c r="BP83" s="45">
        <v>9.7032114772539408</v>
      </c>
      <c r="BQ83" s="45">
        <v>79.137294394091995</v>
      </c>
      <c r="BR83" s="45">
        <v>94.164708515161706</v>
      </c>
      <c r="BS83" s="45">
        <v>4</v>
      </c>
      <c r="BT83" s="45">
        <v>12.274812576927401</v>
      </c>
      <c r="BU83" s="45">
        <v>49.225159525979997</v>
      </c>
      <c r="BV83" s="45">
        <v>83.322704081632693</v>
      </c>
      <c r="BW83" s="45" t="s">
        <v>25</v>
      </c>
      <c r="BX83" s="45"/>
      <c r="BY83" s="45"/>
      <c r="BZ83" s="45"/>
      <c r="CA83" s="45"/>
      <c r="CB83" s="45"/>
      <c r="CC83" s="45"/>
      <c r="CD83" s="45"/>
      <c r="CE83" s="45"/>
      <c r="CF83" s="45">
        <v>37.703848662752797</v>
      </c>
      <c r="CG83" s="45">
        <v>95.433789954337897</v>
      </c>
      <c r="CH83" s="45">
        <v>0</v>
      </c>
      <c r="CI83" s="45">
        <v>39.1389432485323</v>
      </c>
      <c r="CJ83" s="45">
        <v>34.1666666666667</v>
      </c>
      <c r="CK83" s="45">
        <v>39.978563772775999</v>
      </c>
      <c r="CL83" s="45">
        <v>0</v>
      </c>
      <c r="CM83" s="45" t="s">
        <v>475</v>
      </c>
      <c r="CN83" s="45" t="s">
        <v>476</v>
      </c>
      <c r="CO83" s="45" t="s">
        <v>477</v>
      </c>
      <c r="CP83" s="45"/>
    </row>
    <row r="84" spans="1:94" s="14" customFormat="1">
      <c r="A84" s="64" t="s">
        <v>174</v>
      </c>
      <c r="B84" s="14" t="s">
        <v>17</v>
      </c>
      <c r="C84" s="14" t="s">
        <v>34</v>
      </c>
      <c r="D84" s="15">
        <f t="shared" si="4"/>
        <v>60</v>
      </c>
      <c r="E84" s="16">
        <v>44205</v>
      </c>
      <c r="F84" s="16">
        <v>44265</v>
      </c>
      <c r="G84" s="16"/>
      <c r="H84" s="14">
        <v>3</v>
      </c>
      <c r="I84" s="45">
        <v>44</v>
      </c>
      <c r="J84" s="45">
        <v>3</v>
      </c>
      <c r="K84" s="45">
        <v>1</v>
      </c>
      <c r="L84" s="45">
        <v>0</v>
      </c>
      <c r="M84" s="45">
        <v>0</v>
      </c>
      <c r="N84" s="60">
        <v>13.151494704210201</v>
      </c>
      <c r="O84" s="45">
        <v>1</v>
      </c>
      <c r="P84" s="45">
        <v>3</v>
      </c>
      <c r="Q84" s="45">
        <v>1</v>
      </c>
      <c r="R84" s="45"/>
      <c r="S84" s="45">
        <v>3</v>
      </c>
      <c r="T84" s="45">
        <v>3</v>
      </c>
      <c r="U84" s="60">
        <v>6.1851171459497101</v>
      </c>
      <c r="V84" s="60">
        <v>3.6726106616962899</v>
      </c>
      <c r="W84" s="45">
        <v>22.353870458135901</v>
      </c>
      <c r="X84" s="45">
        <v>77.488151658767805</v>
      </c>
      <c r="Y84" s="45">
        <v>4</v>
      </c>
      <c r="Z84" s="45">
        <v>42.890995260663502</v>
      </c>
      <c r="AA84" s="45">
        <v>23.388581952117899</v>
      </c>
      <c r="AB84" s="45">
        <v>21.576763485477201</v>
      </c>
      <c r="AC84" s="45">
        <v>5.8379414191165999</v>
      </c>
      <c r="AD84" s="45">
        <v>11</v>
      </c>
      <c r="AE84" s="45">
        <v>75</v>
      </c>
      <c r="AF84" s="45">
        <v>0</v>
      </c>
      <c r="AG84" s="45">
        <v>1</v>
      </c>
      <c r="AH84" s="45">
        <v>8.5</v>
      </c>
      <c r="AI84" s="45">
        <v>3</v>
      </c>
      <c r="AJ84" s="45">
        <v>3</v>
      </c>
      <c r="AK84" s="45">
        <v>0</v>
      </c>
      <c r="AL84" s="45">
        <v>0</v>
      </c>
      <c r="AM84" s="45">
        <v>0.73475455526966904</v>
      </c>
      <c r="AN84" s="60">
        <v>39.944008617817097</v>
      </c>
      <c r="AO84" s="60">
        <v>6.1616945963072602</v>
      </c>
      <c r="AP84" s="60">
        <v>28.770949720670401</v>
      </c>
      <c r="AQ84" s="23">
        <v>1</v>
      </c>
      <c r="AR84" s="23">
        <v>0</v>
      </c>
      <c r="AS84" s="45">
        <v>9</v>
      </c>
      <c r="AT84" s="45">
        <v>1</v>
      </c>
      <c r="AU84" s="23">
        <v>2</v>
      </c>
      <c r="AV84" s="45">
        <v>4</v>
      </c>
      <c r="AW84" s="45">
        <v>0</v>
      </c>
      <c r="AX84" s="45">
        <v>0</v>
      </c>
      <c r="AY84" s="45">
        <v>2</v>
      </c>
      <c r="AZ84" s="45">
        <v>1</v>
      </c>
      <c r="BA84" s="45">
        <v>1</v>
      </c>
      <c r="BC84" s="45">
        <v>600</v>
      </c>
      <c r="BD84" s="23">
        <v>10</v>
      </c>
      <c r="BE84" s="23">
        <v>9</v>
      </c>
      <c r="BF84" s="23">
        <v>2</v>
      </c>
      <c r="BG84" s="23">
        <v>10</v>
      </c>
      <c r="BH84" s="30" t="s">
        <v>25</v>
      </c>
      <c r="BI84" s="68">
        <v>5</v>
      </c>
      <c r="BJ84" s="68">
        <v>5</v>
      </c>
      <c r="BK84" s="68">
        <v>5</v>
      </c>
      <c r="BL84" s="45" t="s">
        <v>26</v>
      </c>
      <c r="BM84" s="23">
        <v>7</v>
      </c>
      <c r="BN84" s="45"/>
      <c r="BO84" s="45">
        <v>8.6668894000029706</v>
      </c>
      <c r="BP84" s="45">
        <v>23.663551656493201</v>
      </c>
      <c r="BQ84" s="45">
        <v>52.0623993782268</v>
      </c>
      <c r="BR84" s="45">
        <v>48.775884083717301</v>
      </c>
      <c r="BS84" s="45">
        <v>44</v>
      </c>
      <c r="BT84" s="45">
        <v>31.554988064175902</v>
      </c>
      <c r="BU84" s="45">
        <v>38.951442646023899</v>
      </c>
      <c r="BV84" s="45">
        <v>58.106902425176401</v>
      </c>
      <c r="BW84" s="45" t="s">
        <v>25</v>
      </c>
      <c r="BX84" s="45"/>
      <c r="BY84" s="45"/>
      <c r="BZ84" s="45"/>
      <c r="CA84" s="45"/>
      <c r="CB84" s="45"/>
      <c r="CC84" s="45"/>
      <c r="CD84" s="45"/>
      <c r="CE84" s="45"/>
      <c r="CF84" s="45">
        <v>32.355915065723003</v>
      </c>
      <c r="CG84" s="45">
        <v>83.518705763397406</v>
      </c>
      <c r="CH84" s="45">
        <v>3</v>
      </c>
      <c r="CI84" s="45">
        <v>35.2881698685541</v>
      </c>
      <c r="CJ84" s="45">
        <v>26.074498567335201</v>
      </c>
      <c r="CK84" s="45">
        <v>35.78125</v>
      </c>
      <c r="CL84" s="45" t="s">
        <v>478</v>
      </c>
      <c r="CM84" s="45" t="s">
        <v>479</v>
      </c>
      <c r="CN84" s="45" t="s">
        <v>480</v>
      </c>
      <c r="CO84" s="45" t="s">
        <v>481</v>
      </c>
      <c r="CP84" s="45"/>
    </row>
    <row r="85" spans="1:94" s="14" customFormat="1">
      <c r="A85" s="82" t="s">
        <v>175</v>
      </c>
      <c r="B85" s="83" t="s">
        <v>17</v>
      </c>
      <c r="C85" s="83" t="s">
        <v>134</v>
      </c>
      <c r="D85" s="84">
        <v>61</v>
      </c>
      <c r="E85" s="85">
        <v>44204</v>
      </c>
      <c r="F85" s="85">
        <v>44265</v>
      </c>
      <c r="G85" s="85"/>
      <c r="H85" s="14">
        <v>3</v>
      </c>
      <c r="I85" s="45">
        <v>13</v>
      </c>
      <c r="J85" s="45">
        <v>1</v>
      </c>
      <c r="K85" s="45">
        <v>1</v>
      </c>
      <c r="L85" s="45">
        <v>0</v>
      </c>
      <c r="M85" s="45">
        <v>0</v>
      </c>
      <c r="N85" s="60">
        <v>5.7865829124935297</v>
      </c>
      <c r="O85" s="45">
        <v>3</v>
      </c>
      <c r="P85" s="45">
        <v>3</v>
      </c>
      <c r="Q85" s="45">
        <v>2</v>
      </c>
      <c r="R85" s="45"/>
      <c r="S85" s="45">
        <v>4</v>
      </c>
      <c r="T85" s="45">
        <v>1</v>
      </c>
      <c r="U85" s="60">
        <v>5.3939414952682299</v>
      </c>
      <c r="V85" s="60">
        <v>1.12147937970358</v>
      </c>
      <c r="W85" s="45">
        <v>22.2222222222222</v>
      </c>
      <c r="X85" s="45">
        <v>94.037940379403807</v>
      </c>
      <c r="Y85" s="45">
        <v>0</v>
      </c>
      <c r="Z85" s="45">
        <v>70.460704607046097</v>
      </c>
      <c r="AA85" s="45">
        <v>30.384615384615401</v>
      </c>
      <c r="AB85" s="45">
        <v>2.75229357798165</v>
      </c>
      <c r="AC85" s="45">
        <v>7.6621099556176198</v>
      </c>
      <c r="AD85" s="45">
        <v>267</v>
      </c>
      <c r="AE85" s="45">
        <v>285</v>
      </c>
      <c r="AF85" s="45">
        <v>3</v>
      </c>
      <c r="AG85" s="45">
        <v>3</v>
      </c>
      <c r="AH85" s="49">
        <v>115</v>
      </c>
      <c r="AI85" s="23">
        <v>3</v>
      </c>
      <c r="AJ85" s="23">
        <v>3</v>
      </c>
      <c r="AK85" s="45">
        <v>7</v>
      </c>
      <c r="AL85" s="45">
        <v>18</v>
      </c>
      <c r="AM85" s="45">
        <v>13.446176768473199</v>
      </c>
      <c r="AN85" s="60">
        <v>29.023166015382301</v>
      </c>
      <c r="AO85" s="60">
        <v>5.1019104871467604</v>
      </c>
      <c r="AP85" s="60">
        <v>45.1086956521739</v>
      </c>
      <c r="AQ85" s="23">
        <v>2</v>
      </c>
      <c r="AR85" s="23">
        <v>1</v>
      </c>
      <c r="AS85" s="45">
        <v>2</v>
      </c>
      <c r="AT85" s="45">
        <v>0</v>
      </c>
      <c r="AU85" s="45">
        <v>1</v>
      </c>
      <c r="AV85" s="45">
        <v>49</v>
      </c>
      <c r="AW85" s="45">
        <v>13</v>
      </c>
      <c r="AX85" s="45">
        <v>7</v>
      </c>
      <c r="AY85" s="45">
        <v>8</v>
      </c>
      <c r="AZ85" s="45">
        <v>16</v>
      </c>
      <c r="BA85" s="45">
        <v>5</v>
      </c>
      <c r="BC85" s="45">
        <v>25</v>
      </c>
      <c r="BD85" s="23">
        <v>1</v>
      </c>
      <c r="BE85" s="23">
        <v>2</v>
      </c>
      <c r="BF85" s="23">
        <v>0</v>
      </c>
      <c r="BG85" s="23">
        <v>0</v>
      </c>
      <c r="BH85" s="30">
        <v>7.1594833199669896</v>
      </c>
      <c r="BI85" s="68">
        <v>0</v>
      </c>
      <c r="BJ85" s="68">
        <v>1</v>
      </c>
      <c r="BK85" s="68">
        <v>1</v>
      </c>
      <c r="BL85" s="45" t="s">
        <v>176</v>
      </c>
      <c r="BM85" s="23">
        <v>6</v>
      </c>
      <c r="BN85" s="45"/>
      <c r="BO85" s="45">
        <v>2.9205462532237498</v>
      </c>
      <c r="BP85" s="45">
        <v>1.6964509537640999</v>
      </c>
      <c r="BQ85" s="45">
        <v>23.226703755215599</v>
      </c>
      <c r="BR85" s="45">
        <v>96.105702364395</v>
      </c>
      <c r="BS85" s="45">
        <v>0</v>
      </c>
      <c r="BT85" s="45">
        <v>54.102920723226703</v>
      </c>
      <c r="BU85" s="45">
        <v>19.537275064267401</v>
      </c>
      <c r="BV85" s="45">
        <v>27.914110429447899</v>
      </c>
      <c r="BW85" s="45">
        <v>5.1780183226108898</v>
      </c>
      <c r="BX85" s="45"/>
      <c r="BY85" s="45"/>
      <c r="BZ85" s="45"/>
      <c r="CA85" s="45"/>
      <c r="CB85" s="45"/>
      <c r="CC85" s="45"/>
      <c r="CD85" s="45"/>
      <c r="CE85" s="45"/>
      <c r="CF85" s="45" t="s">
        <v>25</v>
      </c>
      <c r="CG85" s="45" t="s">
        <v>25</v>
      </c>
      <c r="CH85" s="45" t="s">
        <v>25</v>
      </c>
      <c r="CI85" s="45" t="s">
        <v>25</v>
      </c>
      <c r="CJ85" s="45" t="s">
        <v>25</v>
      </c>
      <c r="CK85" s="45" t="s">
        <v>25</v>
      </c>
      <c r="CL85" s="45" t="s">
        <v>25</v>
      </c>
      <c r="CM85" s="45" t="s">
        <v>25</v>
      </c>
      <c r="CN85" s="45" t="s">
        <v>25</v>
      </c>
      <c r="CO85" s="45" t="s">
        <v>25</v>
      </c>
      <c r="CP85" s="45"/>
    </row>
    <row r="86" spans="1:94" s="14" customFormat="1">
      <c r="A86" s="82" t="s">
        <v>177</v>
      </c>
      <c r="B86" s="83" t="s">
        <v>17</v>
      </c>
      <c r="C86" s="83" t="s">
        <v>134</v>
      </c>
      <c r="D86" s="84">
        <v>60</v>
      </c>
      <c r="E86" s="85">
        <v>44205</v>
      </c>
      <c r="F86" s="85">
        <v>44265</v>
      </c>
      <c r="G86" s="85"/>
      <c r="H86" s="14">
        <v>3</v>
      </c>
      <c r="I86" s="45">
        <v>11</v>
      </c>
      <c r="J86" s="45">
        <v>0</v>
      </c>
      <c r="K86" s="45">
        <v>0</v>
      </c>
      <c r="L86" s="45">
        <v>0</v>
      </c>
      <c r="M86" s="45">
        <v>1</v>
      </c>
      <c r="N86" s="60">
        <v>6.3035598160690798</v>
      </c>
      <c r="O86" s="45">
        <v>3</v>
      </c>
      <c r="P86" s="45">
        <v>3</v>
      </c>
      <c r="Q86" s="45">
        <v>1</v>
      </c>
      <c r="R86" s="45"/>
      <c r="S86" s="45">
        <v>5</v>
      </c>
      <c r="T86" s="45">
        <v>1</v>
      </c>
      <c r="U86" s="60">
        <v>8.1017459517835899</v>
      </c>
      <c r="V86" s="60">
        <v>0.97017754464289396</v>
      </c>
      <c r="W86" s="45">
        <v>14.5896656534954</v>
      </c>
      <c r="X86" s="45">
        <v>70.212765957446805</v>
      </c>
      <c r="Y86" s="45">
        <v>1</v>
      </c>
      <c r="Z86" s="45">
        <v>62.917933130699097</v>
      </c>
      <c r="AA86" s="45">
        <v>17.3913043478261</v>
      </c>
      <c r="AB86" s="45">
        <v>9.8360655737704903</v>
      </c>
      <c r="AC86" s="45">
        <v>1.23345304297773</v>
      </c>
      <c r="AD86" s="45">
        <v>589</v>
      </c>
      <c r="AE86" s="45">
        <v>600</v>
      </c>
      <c r="AF86" s="45">
        <v>0.5</v>
      </c>
      <c r="AG86" s="45">
        <v>0.5</v>
      </c>
      <c r="AH86" s="49">
        <v>108</v>
      </c>
      <c r="AI86" s="23">
        <v>3</v>
      </c>
      <c r="AJ86" s="23">
        <v>2</v>
      </c>
      <c r="AK86" s="45">
        <v>50</v>
      </c>
      <c r="AL86" s="45">
        <v>20</v>
      </c>
      <c r="AM86" s="45">
        <v>16.110218028320698</v>
      </c>
      <c r="AN86" s="60">
        <v>29.193779261078301</v>
      </c>
      <c r="AO86" s="60">
        <v>2.73550662592835</v>
      </c>
      <c r="AP86" s="60">
        <v>64.461407972858396</v>
      </c>
      <c r="AQ86" s="45" t="s">
        <v>25</v>
      </c>
      <c r="AR86" s="45" t="s">
        <v>25</v>
      </c>
      <c r="AS86" s="45" t="s">
        <v>25</v>
      </c>
      <c r="AT86" s="45" t="s">
        <v>25</v>
      </c>
      <c r="AU86" s="45">
        <v>1</v>
      </c>
      <c r="AV86" s="45">
        <v>71</v>
      </c>
      <c r="AW86" s="45">
        <v>16</v>
      </c>
      <c r="AX86" s="45">
        <v>20</v>
      </c>
      <c r="AY86" s="45">
        <v>15</v>
      </c>
      <c r="AZ86" s="45">
        <v>16</v>
      </c>
      <c r="BA86" s="45">
        <v>4</v>
      </c>
      <c r="BC86" s="45">
        <f>2*60+36</f>
        <v>156</v>
      </c>
      <c r="BD86" s="23">
        <v>2</v>
      </c>
      <c r="BE86" s="23">
        <v>4</v>
      </c>
      <c r="BF86" s="45">
        <v>0</v>
      </c>
      <c r="BG86" s="45">
        <v>3</v>
      </c>
      <c r="BH86" s="30">
        <v>6.1619510286807602</v>
      </c>
      <c r="BI86" s="68">
        <v>2</v>
      </c>
      <c r="BJ86" s="68">
        <v>3</v>
      </c>
      <c r="BK86" s="68">
        <v>1</v>
      </c>
      <c r="BL86" s="45" t="s">
        <v>178</v>
      </c>
      <c r="BM86" s="23">
        <v>13</v>
      </c>
      <c r="BN86" s="45"/>
      <c r="BO86" s="45">
        <v>6.3260687482119398</v>
      </c>
      <c r="BP86" s="45">
        <v>4.9294800436251904</v>
      </c>
      <c r="BQ86" s="45">
        <v>57.281135728113597</v>
      </c>
      <c r="BR86" s="45">
        <v>57.969455796945603</v>
      </c>
      <c r="BS86" s="45">
        <v>5</v>
      </c>
      <c r="BT86" s="45">
        <v>50.419445041944499</v>
      </c>
      <c r="BU86" s="45">
        <v>64.633105802047794</v>
      </c>
      <c r="BV86" s="45">
        <v>49.804772234273301</v>
      </c>
      <c r="BW86" s="45">
        <v>6.1181913082481296</v>
      </c>
      <c r="BX86" s="45"/>
      <c r="BY86" s="45"/>
      <c r="BZ86" s="45"/>
      <c r="CA86" s="45"/>
      <c r="CB86" s="45"/>
      <c r="CC86" s="45"/>
      <c r="CD86" s="45"/>
      <c r="CE86" s="45"/>
      <c r="CF86" s="45">
        <v>49.578582052553301</v>
      </c>
      <c r="CG86" s="45">
        <v>80.912245909766995</v>
      </c>
      <c r="CH86" s="45">
        <v>3</v>
      </c>
      <c r="CI86" s="45">
        <v>26.623698562221101</v>
      </c>
      <c r="CJ86" s="45">
        <v>39.851024208566102</v>
      </c>
      <c r="CK86" s="45">
        <v>53.108108108108098</v>
      </c>
      <c r="CL86" s="45">
        <v>0</v>
      </c>
      <c r="CM86" s="45" t="s">
        <v>482</v>
      </c>
      <c r="CN86" s="45" t="s">
        <v>483</v>
      </c>
      <c r="CO86" s="45" t="s">
        <v>484</v>
      </c>
      <c r="CP86" s="45"/>
    </row>
    <row r="87" spans="1:94" s="14" customFormat="1">
      <c r="A87" s="82" t="s">
        <v>179</v>
      </c>
      <c r="B87" s="83" t="s">
        <v>41</v>
      </c>
      <c r="C87" s="83" t="s">
        <v>18</v>
      </c>
      <c r="D87" s="84"/>
      <c r="E87" s="85"/>
      <c r="F87" s="85">
        <v>45025</v>
      </c>
      <c r="G87" s="85" t="s">
        <v>585</v>
      </c>
      <c r="H87" s="14">
        <v>3</v>
      </c>
      <c r="I87" s="45">
        <v>42</v>
      </c>
      <c r="J87" s="45">
        <v>3</v>
      </c>
      <c r="K87" s="45">
        <v>2</v>
      </c>
      <c r="L87" s="45">
        <v>0</v>
      </c>
      <c r="M87" s="45">
        <v>2</v>
      </c>
      <c r="N87" s="60">
        <v>7.9762179466580898</v>
      </c>
      <c r="O87" s="45">
        <v>2</v>
      </c>
      <c r="P87" s="45">
        <v>2</v>
      </c>
      <c r="Q87" s="45">
        <v>1</v>
      </c>
      <c r="R87" s="45"/>
      <c r="S87" s="45">
        <v>3</v>
      </c>
      <c r="T87" s="45">
        <v>6</v>
      </c>
      <c r="U87" s="60">
        <v>8.9554397076691004</v>
      </c>
      <c r="V87" s="60">
        <v>4.6513905595554501</v>
      </c>
      <c r="W87" s="45">
        <v>15.9072741806555</v>
      </c>
      <c r="X87" s="45">
        <v>66.986410871302994</v>
      </c>
      <c r="Y87" s="45">
        <v>6</v>
      </c>
      <c r="Z87" s="45">
        <v>57.793764988009599</v>
      </c>
      <c r="AA87" s="45">
        <v>23.789764868603001</v>
      </c>
      <c r="AB87" s="45">
        <v>5.1136363636363598</v>
      </c>
      <c r="AC87" s="45">
        <v>10.6089762574915</v>
      </c>
      <c r="AD87" s="45">
        <v>22</v>
      </c>
      <c r="AE87" s="45">
        <v>74</v>
      </c>
      <c r="AF87" s="45">
        <v>0.5</v>
      </c>
      <c r="AG87" s="45">
        <v>1</v>
      </c>
      <c r="AH87" s="49">
        <v>3</v>
      </c>
      <c r="AI87" s="23">
        <v>2</v>
      </c>
      <c r="AJ87" s="23">
        <v>3</v>
      </c>
      <c r="AK87" s="45">
        <v>0</v>
      </c>
      <c r="AL87" s="45">
        <v>5</v>
      </c>
      <c r="AM87" s="45">
        <v>2.3351688405669702</v>
      </c>
      <c r="AN87" s="60">
        <v>35.838278332692497</v>
      </c>
      <c r="AO87" s="60">
        <v>10.355026438007201</v>
      </c>
      <c r="AP87" s="60">
        <v>10.782865583456401</v>
      </c>
      <c r="AQ87" s="45">
        <v>0</v>
      </c>
      <c r="AR87" s="45">
        <v>0</v>
      </c>
      <c r="AS87" s="45">
        <v>13</v>
      </c>
      <c r="AT87" s="45">
        <v>3</v>
      </c>
      <c r="AU87" s="45">
        <v>4</v>
      </c>
      <c r="AV87" s="45">
        <v>4</v>
      </c>
      <c r="AW87" s="45">
        <v>0</v>
      </c>
      <c r="AX87" s="45">
        <v>2</v>
      </c>
      <c r="AY87" s="45">
        <v>2</v>
      </c>
      <c r="AZ87" s="45">
        <v>0</v>
      </c>
      <c r="BA87" s="45">
        <v>0</v>
      </c>
      <c r="BC87" s="45">
        <v>10</v>
      </c>
      <c r="BD87" s="23">
        <v>1</v>
      </c>
      <c r="BE87" s="23">
        <v>2</v>
      </c>
      <c r="BF87" s="45">
        <v>0</v>
      </c>
      <c r="BG87" s="45">
        <v>0</v>
      </c>
      <c r="BH87" s="30">
        <v>8.6453872585299507</v>
      </c>
      <c r="BI87" s="68">
        <v>1</v>
      </c>
      <c r="BJ87" s="68">
        <v>1</v>
      </c>
      <c r="BK87" s="68">
        <v>1</v>
      </c>
      <c r="BL87" s="45" t="s">
        <v>180</v>
      </c>
      <c r="BM87" s="45">
        <v>2</v>
      </c>
      <c r="BN87" s="45">
        <v>2</v>
      </c>
      <c r="BO87" s="45">
        <v>8.6459199778372398</v>
      </c>
      <c r="BP87" s="45">
        <v>0.87675474819742605</v>
      </c>
      <c r="BQ87" s="45">
        <v>14.1891891891892</v>
      </c>
      <c r="BR87" s="45">
        <v>75.337837837837796</v>
      </c>
      <c r="BS87" s="45">
        <v>0</v>
      </c>
      <c r="BT87" s="45">
        <v>64.527027027027003</v>
      </c>
      <c r="BU87" s="45">
        <v>17.277486910994799</v>
      </c>
      <c r="BV87" s="45">
        <v>8.5714285714285694</v>
      </c>
      <c r="BW87" s="45">
        <v>9.3843328643446302</v>
      </c>
      <c r="BX87" s="45"/>
      <c r="BY87" s="45"/>
      <c r="BZ87" s="45"/>
      <c r="CA87" s="45"/>
      <c r="CB87" s="45"/>
      <c r="CC87" s="45"/>
      <c r="CD87" s="45"/>
      <c r="CE87" s="45"/>
      <c r="CF87" s="45" t="s">
        <v>25</v>
      </c>
      <c r="CG87" s="45" t="s">
        <v>25</v>
      </c>
      <c r="CH87" s="45" t="s">
        <v>25</v>
      </c>
      <c r="CI87" s="45" t="s">
        <v>25</v>
      </c>
      <c r="CJ87" s="45" t="s">
        <v>25</v>
      </c>
      <c r="CK87" s="45" t="s">
        <v>25</v>
      </c>
      <c r="CL87" s="45"/>
      <c r="CM87" s="45"/>
      <c r="CN87" s="45"/>
      <c r="CO87" s="45"/>
      <c r="CP87" s="45"/>
    </row>
    <row r="88" spans="1:94" s="14" customFormat="1">
      <c r="A88" s="82" t="s">
        <v>181</v>
      </c>
      <c r="B88" s="83" t="s">
        <v>41</v>
      </c>
      <c r="C88" s="83" t="s">
        <v>18</v>
      </c>
      <c r="D88" s="84"/>
      <c r="E88" s="85"/>
      <c r="F88" s="85">
        <v>45025</v>
      </c>
      <c r="G88" s="85" t="s">
        <v>585</v>
      </c>
      <c r="H88" s="14">
        <v>3</v>
      </c>
      <c r="I88" s="45">
        <v>3</v>
      </c>
      <c r="J88" s="45">
        <v>0</v>
      </c>
      <c r="K88" s="45">
        <v>0</v>
      </c>
      <c r="L88" s="45">
        <v>0</v>
      </c>
      <c r="M88" s="45">
        <v>0</v>
      </c>
      <c r="N88" s="60">
        <v>13.004744615845</v>
      </c>
      <c r="O88" s="45">
        <v>0</v>
      </c>
      <c r="P88" s="45">
        <v>1</v>
      </c>
      <c r="Q88" s="45">
        <v>0</v>
      </c>
      <c r="R88" s="45"/>
      <c r="S88" s="45">
        <v>3</v>
      </c>
      <c r="T88" s="45">
        <v>0</v>
      </c>
      <c r="U88" s="60">
        <v>12.780229919424601</v>
      </c>
      <c r="V88" s="60">
        <v>0.23391859711945001</v>
      </c>
      <c r="W88" s="45">
        <v>27.118644067796598</v>
      </c>
      <c r="X88" s="45">
        <v>100</v>
      </c>
      <c r="Y88" s="45">
        <v>0</v>
      </c>
      <c r="Z88" s="45">
        <v>71.186440677966104</v>
      </c>
      <c r="AA88" s="45">
        <v>38.095238095238102</v>
      </c>
      <c r="AB88" s="45">
        <v>0</v>
      </c>
      <c r="AC88" s="45">
        <v>13.3235744857257</v>
      </c>
      <c r="AD88" s="45">
        <v>0.3</v>
      </c>
      <c r="AE88" s="45">
        <f>46-9</f>
        <v>37</v>
      </c>
      <c r="AF88" s="45">
        <v>0</v>
      </c>
      <c r="AG88" s="45">
        <v>0</v>
      </c>
      <c r="AH88" s="49">
        <v>0</v>
      </c>
      <c r="AI88" s="23">
        <v>0</v>
      </c>
      <c r="AJ88" s="23">
        <v>3</v>
      </c>
      <c r="AK88" s="45">
        <v>0</v>
      </c>
      <c r="AL88" s="45">
        <v>0</v>
      </c>
      <c r="AM88" s="45">
        <v>9.9524451385988293E-3</v>
      </c>
      <c r="AN88" s="60">
        <v>5.9222422025038997</v>
      </c>
      <c r="AO88" s="60">
        <v>3.31984738942137</v>
      </c>
      <c r="AP88" s="60">
        <v>33.3333333333333</v>
      </c>
      <c r="AQ88" s="45">
        <v>4</v>
      </c>
      <c r="AR88" s="45">
        <v>4</v>
      </c>
      <c r="AS88" s="45">
        <v>8</v>
      </c>
      <c r="AT88" s="45">
        <v>2</v>
      </c>
      <c r="AU88" s="45">
        <v>2</v>
      </c>
      <c r="AV88" s="45">
        <v>0</v>
      </c>
      <c r="AW88" s="45">
        <v>0</v>
      </c>
      <c r="AX88" s="45">
        <v>0</v>
      </c>
      <c r="AY88" s="45">
        <v>0</v>
      </c>
      <c r="AZ88" s="45">
        <v>0</v>
      </c>
      <c r="BA88" s="45">
        <v>0</v>
      </c>
      <c r="BC88" s="45">
        <f>69-14</f>
        <v>55</v>
      </c>
      <c r="BD88" s="23">
        <v>1</v>
      </c>
      <c r="BE88" s="23">
        <v>3</v>
      </c>
      <c r="BF88" s="45">
        <v>0</v>
      </c>
      <c r="BG88" s="45">
        <v>3</v>
      </c>
      <c r="BH88" s="30">
        <v>7.2445690942352403</v>
      </c>
      <c r="BI88" s="68">
        <v>4</v>
      </c>
      <c r="BJ88" s="68">
        <v>3</v>
      </c>
      <c r="BK88" s="68">
        <v>3</v>
      </c>
      <c r="BL88" s="45" t="s">
        <v>182</v>
      </c>
      <c r="BM88" s="45">
        <v>3</v>
      </c>
      <c r="BN88" s="45">
        <v>6</v>
      </c>
      <c r="BO88" s="45">
        <v>15.352054703194799</v>
      </c>
      <c r="BP88" s="45">
        <v>3.7801625165255199</v>
      </c>
      <c r="BQ88" s="45">
        <v>19.666880204996801</v>
      </c>
      <c r="BR88" s="45">
        <v>12.171684817424699</v>
      </c>
      <c r="BS88" s="45">
        <v>12</v>
      </c>
      <c r="BT88" s="45">
        <v>28.251121076233201</v>
      </c>
      <c r="BU88" s="45">
        <v>8.1632653061224492</v>
      </c>
      <c r="BV88" s="45">
        <v>24.196428571428601</v>
      </c>
      <c r="BW88" s="45">
        <v>2.57003623267151</v>
      </c>
      <c r="BX88" s="45"/>
      <c r="BY88" s="45"/>
      <c r="BZ88" s="45"/>
      <c r="CA88" s="45"/>
      <c r="CB88" s="45"/>
      <c r="CC88" s="45"/>
      <c r="CD88" s="45"/>
      <c r="CE88" s="45"/>
      <c r="CF88" s="45">
        <v>11.9286510590858</v>
      </c>
      <c r="CG88" s="45">
        <v>14.9386845039019</v>
      </c>
      <c r="CH88" s="45">
        <v>8</v>
      </c>
      <c r="CI88" s="45">
        <v>28.539576365663301</v>
      </c>
      <c r="CJ88" s="45">
        <v>6.25</v>
      </c>
      <c r="CK88" s="45">
        <v>14.196567862714501</v>
      </c>
      <c r="CL88" s="45"/>
      <c r="CM88" s="45"/>
      <c r="CN88" s="45"/>
      <c r="CO88" s="45"/>
      <c r="CP88" s="45"/>
    </row>
    <row r="89" spans="1:94" s="14" customFormat="1">
      <c r="A89" s="82" t="s">
        <v>183</v>
      </c>
      <c r="B89" s="83" t="s">
        <v>17</v>
      </c>
      <c r="C89" s="83" t="s">
        <v>18</v>
      </c>
      <c r="D89" s="84"/>
      <c r="E89" s="85"/>
      <c r="F89" s="85">
        <v>45025</v>
      </c>
      <c r="G89" s="85" t="s">
        <v>585</v>
      </c>
      <c r="H89" s="14">
        <v>3</v>
      </c>
      <c r="I89" s="45">
        <f>22-9</f>
        <v>13</v>
      </c>
      <c r="J89" s="45">
        <v>1</v>
      </c>
      <c r="K89" s="45">
        <v>1</v>
      </c>
      <c r="L89" s="45">
        <v>0</v>
      </c>
      <c r="M89" s="45">
        <v>0</v>
      </c>
      <c r="N89" s="60">
        <v>10.8126248981263</v>
      </c>
      <c r="O89" s="45">
        <v>0</v>
      </c>
      <c r="P89" s="45">
        <v>1</v>
      </c>
      <c r="Q89" s="45">
        <v>0</v>
      </c>
      <c r="R89" s="45"/>
      <c r="S89" s="45">
        <v>5</v>
      </c>
      <c r="T89" s="45">
        <v>1</v>
      </c>
      <c r="U89" s="60">
        <v>14.782221742597899</v>
      </c>
      <c r="V89" s="60">
        <v>1.10070424514581</v>
      </c>
      <c r="W89" s="45">
        <v>23.469387755102002</v>
      </c>
      <c r="X89" s="45">
        <v>90.306122448979593</v>
      </c>
      <c r="Y89" s="45">
        <v>1</v>
      </c>
      <c r="Z89" s="45">
        <v>43.112244897959201</v>
      </c>
      <c r="AA89" s="45">
        <v>23.668639053254399</v>
      </c>
      <c r="AB89" s="45">
        <v>23.318385650224201</v>
      </c>
      <c r="AC89" s="45">
        <v>5.6904292636943303</v>
      </c>
      <c r="AD89" s="45">
        <v>7</v>
      </c>
      <c r="AE89" s="45">
        <f>42-22</f>
        <v>20</v>
      </c>
      <c r="AF89" s="45">
        <v>0</v>
      </c>
      <c r="AG89" s="45">
        <v>1</v>
      </c>
      <c r="AH89" s="49">
        <v>4</v>
      </c>
      <c r="AI89" s="23">
        <v>2</v>
      </c>
      <c r="AJ89" s="23">
        <v>2</v>
      </c>
      <c r="AK89" s="45">
        <v>0</v>
      </c>
      <c r="AL89" s="45">
        <v>0</v>
      </c>
      <c r="AM89" s="45">
        <v>0.309515503742956</v>
      </c>
      <c r="AN89" s="60">
        <v>26.085421234224</v>
      </c>
      <c r="AO89" s="60">
        <v>4.9424629302257799</v>
      </c>
      <c r="AP89" s="60">
        <v>47.340425531914903</v>
      </c>
      <c r="AQ89" s="45">
        <v>1</v>
      </c>
      <c r="AR89" s="45">
        <v>1</v>
      </c>
      <c r="AS89" s="45">
        <v>3</v>
      </c>
      <c r="AT89" s="45">
        <v>13</v>
      </c>
      <c r="AU89" s="45">
        <v>1</v>
      </c>
      <c r="AV89" s="45">
        <v>3</v>
      </c>
      <c r="AW89" s="45">
        <v>0</v>
      </c>
      <c r="AX89" s="45">
        <v>2</v>
      </c>
      <c r="AY89" s="45">
        <v>0</v>
      </c>
      <c r="AZ89" s="45">
        <v>1</v>
      </c>
      <c r="BA89" s="45">
        <v>0</v>
      </c>
      <c r="BC89" s="45">
        <v>4</v>
      </c>
      <c r="BD89" s="23">
        <v>0</v>
      </c>
      <c r="BE89" s="23">
        <v>0</v>
      </c>
      <c r="BF89" s="45">
        <v>0</v>
      </c>
      <c r="BG89" s="45">
        <v>0</v>
      </c>
      <c r="BH89" s="30">
        <v>13.5086513849923</v>
      </c>
      <c r="BI89" s="68">
        <v>1</v>
      </c>
      <c r="BJ89" s="68">
        <v>1</v>
      </c>
      <c r="BK89" s="68">
        <v>1</v>
      </c>
      <c r="BL89" s="45" t="s">
        <v>184</v>
      </c>
      <c r="BM89" s="45">
        <v>4</v>
      </c>
      <c r="BN89" s="45">
        <v>0</v>
      </c>
      <c r="BO89" s="45">
        <v>14.8338546438217</v>
      </c>
      <c r="BP89" s="45">
        <v>0.31414049118815002</v>
      </c>
      <c r="BQ89" s="45">
        <v>1.35135135135135</v>
      </c>
      <c r="BR89" s="45">
        <v>82.432432432432407</v>
      </c>
      <c r="BS89" s="45">
        <v>0</v>
      </c>
      <c r="BT89" s="45">
        <v>52.702702702702702</v>
      </c>
      <c r="BU89" s="45">
        <v>2.5641025641025599</v>
      </c>
      <c r="BV89" s="45">
        <v>0</v>
      </c>
      <c r="BW89" s="45">
        <v>9.9202850522004606</v>
      </c>
      <c r="BX89" s="45"/>
      <c r="BY89" s="45"/>
      <c r="BZ89" s="45"/>
      <c r="CA89" s="45"/>
      <c r="CB89" s="45"/>
      <c r="CC89" s="45"/>
      <c r="CD89" s="45"/>
      <c r="CE89" s="45"/>
      <c r="CF89" s="45" t="s">
        <v>25</v>
      </c>
      <c r="CG89" s="45" t="s">
        <v>25</v>
      </c>
      <c r="CH89" s="45" t="s">
        <v>25</v>
      </c>
      <c r="CI89" s="45" t="s">
        <v>25</v>
      </c>
      <c r="CJ89" s="45" t="s">
        <v>25</v>
      </c>
      <c r="CK89" s="45" t="s">
        <v>25</v>
      </c>
      <c r="CL89" s="45"/>
      <c r="CM89" s="45"/>
      <c r="CN89" s="45"/>
      <c r="CO89" s="45"/>
      <c r="CP89" s="45"/>
    </row>
    <row r="90" spans="1:94" s="14" customFormat="1">
      <c r="A90" s="82" t="s">
        <v>185</v>
      </c>
      <c r="B90" s="83" t="s">
        <v>17</v>
      </c>
      <c r="C90" s="83" t="s">
        <v>18</v>
      </c>
      <c r="D90" s="84"/>
      <c r="E90" s="85"/>
      <c r="F90" s="85">
        <v>45025</v>
      </c>
      <c r="G90" s="85" t="s">
        <v>585</v>
      </c>
      <c r="H90" s="14">
        <v>3</v>
      </c>
      <c r="I90" s="45">
        <f>23-8</f>
        <v>15</v>
      </c>
      <c r="J90" s="45">
        <v>1</v>
      </c>
      <c r="K90" s="45">
        <v>1</v>
      </c>
      <c r="L90" s="45">
        <v>0</v>
      </c>
      <c r="M90" s="45">
        <v>0</v>
      </c>
      <c r="N90" s="60">
        <v>6.6751949492327203</v>
      </c>
      <c r="O90" s="45">
        <v>0</v>
      </c>
      <c r="P90" s="45">
        <v>1</v>
      </c>
      <c r="Q90" s="45">
        <v>0</v>
      </c>
      <c r="R90" s="45"/>
      <c r="S90" s="45">
        <v>10</v>
      </c>
      <c r="T90" s="45">
        <v>1</v>
      </c>
      <c r="U90" s="60">
        <v>7.78684044632673</v>
      </c>
      <c r="V90" s="60">
        <v>1.2190955170031099</v>
      </c>
      <c r="W90" s="45">
        <v>19.867549668874201</v>
      </c>
      <c r="X90" s="45">
        <v>78.366445916114799</v>
      </c>
      <c r="Y90" s="45">
        <v>1</v>
      </c>
      <c r="Z90" s="45">
        <v>49.668874172185397</v>
      </c>
      <c r="AA90" s="45">
        <v>29.3333333333333</v>
      </c>
      <c r="AB90" s="45">
        <v>10.526315789473699</v>
      </c>
      <c r="AC90" s="45">
        <v>9.5159823865852395</v>
      </c>
      <c r="AD90" s="45">
        <v>2</v>
      </c>
      <c r="AE90" s="45">
        <v>28</v>
      </c>
      <c r="AF90" s="45">
        <v>0.5</v>
      </c>
      <c r="AG90" s="45">
        <v>0.5</v>
      </c>
      <c r="AH90" s="49">
        <v>1</v>
      </c>
      <c r="AI90" s="23">
        <v>2</v>
      </c>
      <c r="AJ90" s="23">
        <v>3</v>
      </c>
      <c r="AK90" s="45">
        <v>0</v>
      </c>
      <c r="AL90" s="45">
        <v>0</v>
      </c>
      <c r="AM90" s="45">
        <v>0.16433589614591301</v>
      </c>
      <c r="AN90" s="60">
        <v>24.4667888879206</v>
      </c>
      <c r="AO90" s="60">
        <v>8.3615446306286394</v>
      </c>
      <c r="AP90" s="60">
        <v>23.728813559321999</v>
      </c>
      <c r="AQ90" s="45">
        <v>0</v>
      </c>
      <c r="AR90" s="45">
        <v>0</v>
      </c>
      <c r="AS90" s="45">
        <v>6</v>
      </c>
      <c r="AT90" s="45">
        <v>6</v>
      </c>
      <c r="AU90" s="45">
        <v>2</v>
      </c>
      <c r="AV90" s="45">
        <v>1</v>
      </c>
      <c r="AW90" s="45">
        <v>0</v>
      </c>
      <c r="AX90" s="45">
        <v>0</v>
      </c>
      <c r="AY90" s="45">
        <v>1</v>
      </c>
      <c r="AZ90" s="45">
        <v>0</v>
      </c>
      <c r="BA90" s="45">
        <v>0</v>
      </c>
      <c r="BC90" s="45">
        <f>143-9</f>
        <v>134</v>
      </c>
      <c r="BD90" s="23">
        <v>9</v>
      </c>
      <c r="BE90" s="23">
        <v>10</v>
      </c>
      <c r="BF90" s="45">
        <v>3</v>
      </c>
      <c r="BG90" s="45">
        <v>1</v>
      </c>
      <c r="BH90" s="30">
        <v>13.8708713911366</v>
      </c>
      <c r="BI90" s="68">
        <v>1</v>
      </c>
      <c r="BJ90" s="68">
        <v>1</v>
      </c>
      <c r="BK90" s="68">
        <v>1</v>
      </c>
      <c r="BL90" s="45" t="s">
        <v>186</v>
      </c>
      <c r="BM90" s="45">
        <v>5</v>
      </c>
      <c r="BN90" s="45">
        <v>10</v>
      </c>
      <c r="BO90" s="45">
        <v>6.9328648438991696</v>
      </c>
      <c r="BP90" s="45">
        <v>8.9045158282602195</v>
      </c>
      <c r="BQ90" s="45">
        <v>27.7321384117501</v>
      </c>
      <c r="BR90" s="45">
        <v>64.849390092108493</v>
      </c>
      <c r="BS90" s="45">
        <v>7</v>
      </c>
      <c r="BT90" s="45">
        <v>32.163305949713703</v>
      </c>
      <c r="BU90" s="45">
        <v>15.789473684210501</v>
      </c>
      <c r="BV90" s="45">
        <v>33.394495412844002</v>
      </c>
      <c r="BW90" s="45">
        <v>7.0875924403150297</v>
      </c>
      <c r="BX90" s="45"/>
      <c r="BY90" s="45"/>
      <c r="BZ90" s="45"/>
      <c r="CA90" s="45"/>
      <c r="CB90" s="45"/>
      <c r="CC90" s="45"/>
      <c r="CD90" s="45"/>
      <c r="CE90" s="45"/>
      <c r="CF90" s="45">
        <v>20.685959271168301</v>
      </c>
      <c r="CG90" s="45">
        <v>77.491961414791007</v>
      </c>
      <c r="CH90" s="45">
        <v>1</v>
      </c>
      <c r="CI90" s="45">
        <v>45.766345123258297</v>
      </c>
      <c r="CJ90" s="45">
        <v>18.7353629976581</v>
      </c>
      <c r="CK90" s="45">
        <v>22.332015810276701</v>
      </c>
      <c r="CL90" s="45"/>
      <c r="CM90" s="45"/>
      <c r="CN90" s="45"/>
      <c r="CO90" s="45"/>
      <c r="CP90" s="45"/>
    </row>
    <row r="91" spans="1:94" s="14" customFormat="1">
      <c r="A91" s="82" t="s">
        <v>187</v>
      </c>
      <c r="B91" s="83" t="s">
        <v>17</v>
      </c>
      <c r="C91" s="83" t="s">
        <v>18</v>
      </c>
      <c r="D91" s="84"/>
      <c r="E91" s="85"/>
      <c r="F91" s="85">
        <v>45025</v>
      </c>
      <c r="G91" s="85" t="s">
        <v>585</v>
      </c>
      <c r="H91" s="14">
        <v>3</v>
      </c>
      <c r="I91" s="45">
        <v>4</v>
      </c>
      <c r="J91" s="45">
        <v>0</v>
      </c>
      <c r="K91" s="45">
        <v>0</v>
      </c>
      <c r="L91" s="45">
        <v>0</v>
      </c>
      <c r="M91" s="45">
        <v>0</v>
      </c>
      <c r="N91" s="60">
        <v>11.866193034873101</v>
      </c>
      <c r="O91" s="45">
        <v>0</v>
      </c>
      <c r="P91" s="45">
        <v>1</v>
      </c>
      <c r="Q91" s="45">
        <v>0</v>
      </c>
      <c r="R91" s="45"/>
      <c r="S91" s="49">
        <v>3</v>
      </c>
      <c r="T91" s="45">
        <v>0</v>
      </c>
      <c r="U91" s="49">
        <v>17.662852582263501</v>
      </c>
      <c r="V91" s="49">
        <v>0.327764519919718</v>
      </c>
      <c r="W91" s="49">
        <v>27.272727272727298</v>
      </c>
      <c r="X91" s="45">
        <v>94.805194805194802</v>
      </c>
      <c r="Y91" s="45">
        <v>0</v>
      </c>
      <c r="Z91" s="45">
        <v>66.233766233766204</v>
      </c>
      <c r="AA91" s="45">
        <v>41.176470588235297</v>
      </c>
      <c r="AB91" s="45">
        <v>0</v>
      </c>
      <c r="AC91" s="45">
        <v>11.244847122246499</v>
      </c>
      <c r="AD91" s="45">
        <f>36-11</f>
        <v>25</v>
      </c>
      <c r="AE91" s="45">
        <f>45-8</f>
        <v>37</v>
      </c>
      <c r="AF91" s="45">
        <v>1</v>
      </c>
      <c r="AG91" s="45">
        <v>11</v>
      </c>
      <c r="AH91" s="49">
        <v>4.5</v>
      </c>
      <c r="AI91" s="23">
        <v>2</v>
      </c>
      <c r="AJ91" s="23">
        <v>1</v>
      </c>
      <c r="AK91" s="45">
        <v>2</v>
      </c>
      <c r="AL91" s="45">
        <v>1</v>
      </c>
      <c r="AM91" s="45">
        <v>1.74975435037403</v>
      </c>
      <c r="AN91" s="60">
        <v>25.987029847199</v>
      </c>
      <c r="AO91" s="60">
        <v>7.3560097265331201</v>
      </c>
      <c r="AP91" s="60">
        <v>30.252100840336102</v>
      </c>
      <c r="AQ91" s="45">
        <v>0</v>
      </c>
      <c r="AR91" s="45">
        <v>0</v>
      </c>
      <c r="AS91" s="45">
        <v>5</v>
      </c>
      <c r="AT91" s="45">
        <v>7</v>
      </c>
      <c r="AU91" s="45">
        <v>1</v>
      </c>
      <c r="AV91" s="45">
        <v>4</v>
      </c>
      <c r="AW91" s="45">
        <v>0</v>
      </c>
      <c r="AX91" s="45">
        <v>1</v>
      </c>
      <c r="AY91" s="45">
        <v>2</v>
      </c>
      <c r="AZ91" s="45">
        <v>1</v>
      </c>
      <c r="BA91" s="45">
        <v>0</v>
      </c>
      <c r="BC91" s="45">
        <v>120</v>
      </c>
      <c r="BD91" s="23">
        <v>5</v>
      </c>
      <c r="BE91" s="23">
        <v>8</v>
      </c>
      <c r="BF91" s="45">
        <v>4</v>
      </c>
      <c r="BG91" s="45">
        <v>1</v>
      </c>
      <c r="BH91" s="30">
        <v>6.65493363116948</v>
      </c>
      <c r="BI91" s="68">
        <v>2</v>
      </c>
      <c r="BJ91" s="68">
        <v>3</v>
      </c>
      <c r="BK91" s="68">
        <v>2</v>
      </c>
      <c r="BL91" s="45" t="s">
        <v>188</v>
      </c>
      <c r="BM91" s="45">
        <v>4</v>
      </c>
      <c r="BN91" s="45">
        <v>5</v>
      </c>
      <c r="BO91" s="45">
        <v>15.6737763181322</v>
      </c>
      <c r="BP91" s="45">
        <v>7.3412820531179497</v>
      </c>
      <c r="BQ91" s="45">
        <v>38.5008517887564</v>
      </c>
      <c r="BR91" s="45">
        <v>74.835726454125094</v>
      </c>
      <c r="BS91" s="45">
        <v>6</v>
      </c>
      <c r="BT91" s="45">
        <v>40.691165733755199</v>
      </c>
      <c r="BU91" s="45">
        <v>35.107655502392397</v>
      </c>
      <c r="BV91" s="45">
        <v>40.828887977020898</v>
      </c>
      <c r="BW91" s="45">
        <v>8.1096374289724693</v>
      </c>
      <c r="BX91" s="45"/>
      <c r="BY91" s="45"/>
      <c r="BZ91" s="45"/>
      <c r="CA91" s="45"/>
      <c r="CB91" s="45"/>
      <c r="CC91" s="45"/>
      <c r="CD91" s="45"/>
      <c r="CE91" s="45"/>
      <c r="CF91" s="45">
        <v>20.345744680851102</v>
      </c>
      <c r="CG91" s="45">
        <v>87.7659574468085</v>
      </c>
      <c r="CH91" s="45">
        <v>2</v>
      </c>
      <c r="CI91" s="45">
        <v>35.505319148936202</v>
      </c>
      <c r="CJ91" s="45">
        <v>10.1123595505618</v>
      </c>
      <c r="CK91" s="45">
        <v>25.979381443299001</v>
      </c>
      <c r="CL91" s="45"/>
      <c r="CM91" s="45"/>
      <c r="CN91" s="45"/>
      <c r="CO91" s="45"/>
      <c r="CP91" s="45"/>
    </row>
    <row r="92" spans="1:94" s="36" customFormat="1" ht="26">
      <c r="A92" s="32"/>
      <c r="B92" s="33"/>
      <c r="C92" s="33"/>
      <c r="D92" s="34"/>
      <c r="E92" s="35" t="s">
        <v>588</v>
      </c>
      <c r="F92" s="33"/>
      <c r="G92" s="33"/>
      <c r="I92" s="96"/>
      <c r="J92" s="96"/>
      <c r="K92" s="96"/>
      <c r="L92" s="96"/>
      <c r="M92" s="96"/>
      <c r="N92" s="99"/>
      <c r="O92" s="96"/>
      <c r="P92" s="96"/>
      <c r="Q92" s="96"/>
      <c r="R92" s="96"/>
      <c r="S92" s="96"/>
      <c r="T92" s="96"/>
      <c r="U92" s="99"/>
      <c r="V92" s="99"/>
      <c r="W92" s="96"/>
      <c r="X92" s="96"/>
      <c r="Y92" s="96"/>
      <c r="Z92" s="96"/>
      <c r="AA92" s="96"/>
      <c r="AB92" s="96"/>
      <c r="AC92" s="96"/>
      <c r="AD92" s="32"/>
      <c r="AE92" s="57"/>
      <c r="AF92" s="57"/>
      <c r="AG92" s="96"/>
      <c r="AH92" s="57"/>
      <c r="AI92" s="57"/>
      <c r="AJ92" s="57"/>
      <c r="AK92" s="57"/>
      <c r="AL92" s="57"/>
      <c r="AM92" s="96"/>
      <c r="AN92" s="58"/>
      <c r="AO92" s="58"/>
      <c r="AP92" s="58"/>
      <c r="AQ92" s="58"/>
      <c r="AR92" s="57"/>
      <c r="AS92" s="96"/>
      <c r="AT92" s="96"/>
      <c r="AU92" s="58"/>
      <c r="AV92" s="96"/>
      <c r="AW92" s="96"/>
      <c r="AX92" s="96"/>
      <c r="AY92" s="96"/>
      <c r="AZ92" s="96"/>
      <c r="BA92" s="96"/>
      <c r="BC92" s="96"/>
      <c r="BD92" s="96"/>
      <c r="BE92" s="96"/>
      <c r="BF92" s="96"/>
      <c r="BG92" s="96"/>
      <c r="BH92" s="97"/>
      <c r="BI92" s="98"/>
      <c r="BJ92" s="98"/>
      <c r="BK92" s="98"/>
      <c r="BL92" s="96"/>
      <c r="BM92" s="96"/>
      <c r="BN92" s="96"/>
      <c r="BO92" s="96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  <c r="CC92" s="96"/>
      <c r="CD92" s="96"/>
      <c r="CE92" s="96"/>
      <c r="CF92" s="96"/>
      <c r="CG92" s="96"/>
      <c r="CH92" s="96"/>
      <c r="CI92" s="96"/>
      <c r="CJ92" s="96"/>
      <c r="CK92" s="96"/>
      <c r="CL92" s="96"/>
      <c r="CM92" s="96"/>
      <c r="CN92" s="96"/>
      <c r="CO92" s="96"/>
      <c r="CP92" s="96"/>
    </row>
    <row r="93" spans="1:94" s="6" customFormat="1">
      <c r="A93" s="9" t="s">
        <v>189</v>
      </c>
      <c r="B93" s="6" t="s">
        <v>17</v>
      </c>
      <c r="C93" s="6" t="s">
        <v>18</v>
      </c>
      <c r="D93" s="2">
        <f t="shared" ref="D93:D125" si="5">F93-E93</f>
        <v>55</v>
      </c>
      <c r="E93" s="3">
        <v>44294</v>
      </c>
      <c r="F93" s="3">
        <v>44349</v>
      </c>
      <c r="G93" s="3"/>
      <c r="H93" s="6">
        <v>4</v>
      </c>
      <c r="I93" s="10">
        <v>9</v>
      </c>
      <c r="J93" s="10">
        <v>0</v>
      </c>
      <c r="K93" s="10">
        <v>0</v>
      </c>
      <c r="L93" s="10">
        <v>0</v>
      </c>
      <c r="M93" s="10">
        <v>0</v>
      </c>
      <c r="N93" s="87">
        <v>14.1465578594122</v>
      </c>
      <c r="O93" s="10">
        <v>2</v>
      </c>
      <c r="P93" s="10">
        <v>3</v>
      </c>
      <c r="Q93" s="10">
        <v>1</v>
      </c>
      <c r="R93" s="10"/>
      <c r="S93" s="10">
        <v>3</v>
      </c>
      <c r="T93" s="10">
        <v>1</v>
      </c>
      <c r="U93" s="87">
        <v>8.3212241696211002</v>
      </c>
      <c r="V93" s="87">
        <v>0.99524523088100603</v>
      </c>
      <c r="W93" s="10">
        <v>16.6051660516605</v>
      </c>
      <c r="X93" s="10">
        <v>79.704797047970501</v>
      </c>
      <c r="Y93" s="10">
        <v>1</v>
      </c>
      <c r="Z93" s="10">
        <v>33.948339483394797</v>
      </c>
      <c r="AA93" s="10">
        <v>3.2608695652173898</v>
      </c>
      <c r="AB93" s="10">
        <v>23.463687150837998</v>
      </c>
      <c r="AC93" s="10">
        <v>11.8503600130223</v>
      </c>
      <c r="AD93" s="10">
        <v>1</v>
      </c>
      <c r="AE93" s="4">
        <v>17</v>
      </c>
      <c r="AF93" s="4">
        <v>0</v>
      </c>
      <c r="AG93" s="10">
        <v>0.5</v>
      </c>
      <c r="AH93" s="4">
        <v>1</v>
      </c>
      <c r="AI93" s="4">
        <v>1</v>
      </c>
      <c r="AJ93" s="10">
        <v>3</v>
      </c>
      <c r="AK93" s="10">
        <v>0</v>
      </c>
      <c r="AL93" s="10">
        <v>0</v>
      </c>
      <c r="AM93" s="10">
        <v>0.116251764948111</v>
      </c>
      <c r="AN93" s="87">
        <v>20.343518924526698</v>
      </c>
      <c r="AO93" s="87">
        <v>10.264781502646001</v>
      </c>
      <c r="AP93" s="87">
        <v>2.9411764705882399</v>
      </c>
      <c r="AQ93" s="7">
        <v>1</v>
      </c>
      <c r="AR93" s="7">
        <v>1</v>
      </c>
      <c r="AS93" s="10">
        <v>4</v>
      </c>
      <c r="AT93" s="10">
        <v>4</v>
      </c>
      <c r="AU93" s="7">
        <v>1</v>
      </c>
      <c r="AV93" s="10">
        <v>1</v>
      </c>
      <c r="AW93" s="10">
        <v>0</v>
      </c>
      <c r="AX93" s="10">
        <v>0</v>
      </c>
      <c r="AY93" s="10">
        <v>1</v>
      </c>
      <c r="AZ93" s="10">
        <v>0</v>
      </c>
      <c r="BA93" s="10">
        <v>0</v>
      </c>
      <c r="BC93" s="10">
        <f>180+39-7</f>
        <v>212</v>
      </c>
      <c r="BD93" s="10">
        <v>5</v>
      </c>
      <c r="BE93" s="10">
        <v>4</v>
      </c>
      <c r="BF93" s="10">
        <v>0</v>
      </c>
      <c r="BG93" s="10">
        <v>1</v>
      </c>
      <c r="BH93" s="4">
        <v>2.6546186002712902</v>
      </c>
      <c r="BI93" s="8">
        <v>1</v>
      </c>
      <c r="BJ93" s="8">
        <v>3</v>
      </c>
      <c r="BK93" s="8">
        <v>1</v>
      </c>
      <c r="BL93" s="10" t="s">
        <v>190</v>
      </c>
      <c r="BM93" s="7">
        <v>7</v>
      </c>
      <c r="BN93" s="10"/>
      <c r="BO93" s="10">
        <v>0.74216114188536098</v>
      </c>
      <c r="BP93" s="10">
        <v>6.9750711641605898</v>
      </c>
      <c r="BQ93" s="10">
        <v>58.535820661545699</v>
      </c>
      <c r="BR93" s="10">
        <v>61.404608872864102</v>
      </c>
      <c r="BS93" s="10">
        <v>11</v>
      </c>
      <c r="BT93" s="10">
        <v>26.4775043110205</v>
      </c>
      <c r="BU93" s="10">
        <v>50.503256364712897</v>
      </c>
      <c r="BV93" s="10">
        <v>61.428571428571402</v>
      </c>
      <c r="BW93" s="10">
        <v>1.7483673615764399</v>
      </c>
      <c r="BX93" s="10"/>
      <c r="BY93" s="10"/>
      <c r="BZ93" s="10"/>
      <c r="CA93" s="10"/>
      <c r="CB93" s="10"/>
      <c r="CC93" s="10"/>
      <c r="CD93" s="10"/>
      <c r="CE93" s="10"/>
      <c r="CF93" s="10">
        <v>69.412166780587796</v>
      </c>
      <c r="CG93" s="10">
        <v>76.520847573479202</v>
      </c>
      <c r="CH93" s="10">
        <v>1</v>
      </c>
      <c r="CI93" s="10">
        <v>21.565276828434701</v>
      </c>
      <c r="CJ93" s="10">
        <v>51.3470681458003</v>
      </c>
      <c r="CK93" s="10">
        <v>74.379084967320296</v>
      </c>
      <c r="CL93" s="10">
        <v>0</v>
      </c>
      <c r="CM93" s="10" t="s">
        <v>485</v>
      </c>
      <c r="CN93" s="10" t="s">
        <v>486</v>
      </c>
      <c r="CO93" s="10" t="s">
        <v>487</v>
      </c>
      <c r="CP93" s="10"/>
    </row>
    <row r="94" spans="1:94" s="6" customFormat="1">
      <c r="A94" s="9" t="s">
        <v>191</v>
      </c>
      <c r="B94" s="6" t="s">
        <v>41</v>
      </c>
      <c r="C94" s="6" t="s">
        <v>18</v>
      </c>
      <c r="D94" s="2">
        <f t="shared" si="5"/>
        <v>55</v>
      </c>
      <c r="E94" s="3">
        <v>44294</v>
      </c>
      <c r="F94" s="3">
        <v>44349</v>
      </c>
      <c r="G94" s="3"/>
      <c r="H94" s="6">
        <v>4</v>
      </c>
      <c r="I94" s="10">
        <v>5</v>
      </c>
      <c r="J94" s="10">
        <v>0</v>
      </c>
      <c r="K94" s="10">
        <v>0</v>
      </c>
      <c r="L94" s="10">
        <v>0</v>
      </c>
      <c r="M94" s="10">
        <v>0</v>
      </c>
      <c r="N94" s="87">
        <v>11.4324690607951</v>
      </c>
      <c r="O94" s="10">
        <v>0</v>
      </c>
      <c r="P94" s="10">
        <v>1</v>
      </c>
      <c r="Q94" s="10">
        <v>0</v>
      </c>
      <c r="R94" s="10"/>
      <c r="S94" s="10">
        <v>4</v>
      </c>
      <c r="T94" s="10">
        <v>0</v>
      </c>
      <c r="U94" s="87">
        <v>4.5932937329058197</v>
      </c>
      <c r="V94" s="87">
        <v>0.33866198586329499</v>
      </c>
      <c r="W94" s="10">
        <v>25.196850393700799</v>
      </c>
      <c r="X94" s="10">
        <v>91.338582677165405</v>
      </c>
      <c r="Y94" s="10">
        <v>0</v>
      </c>
      <c r="Z94" s="10">
        <v>37.007874015748001</v>
      </c>
      <c r="AA94" s="10">
        <v>4.2553191489361701</v>
      </c>
      <c r="AB94" s="10">
        <v>37.5</v>
      </c>
      <c r="AC94" s="10">
        <v>2.3509830161649101</v>
      </c>
      <c r="AD94" s="10">
        <v>5</v>
      </c>
      <c r="AE94" s="4">
        <v>16</v>
      </c>
      <c r="AF94" s="4">
        <v>0.5</v>
      </c>
      <c r="AG94" s="10">
        <v>1</v>
      </c>
      <c r="AH94" s="4">
        <v>4</v>
      </c>
      <c r="AI94" s="10">
        <v>2</v>
      </c>
      <c r="AJ94" s="10">
        <v>3</v>
      </c>
      <c r="AK94" s="10">
        <v>0</v>
      </c>
      <c r="AL94" s="10">
        <v>0</v>
      </c>
      <c r="AM94" s="10">
        <v>0.118251907884194</v>
      </c>
      <c r="AN94" s="87">
        <v>5.4505781875269097</v>
      </c>
      <c r="AO94" s="87">
        <v>2.3509830161649101</v>
      </c>
      <c r="AP94" s="87">
        <v>45.695364238410598</v>
      </c>
      <c r="AQ94" s="7">
        <v>0</v>
      </c>
      <c r="AR94" s="7">
        <v>0</v>
      </c>
      <c r="AS94" s="10">
        <v>5</v>
      </c>
      <c r="AT94" s="10">
        <v>3</v>
      </c>
      <c r="AU94" s="7">
        <v>1</v>
      </c>
      <c r="AV94" s="10">
        <v>1</v>
      </c>
      <c r="AW94" s="10">
        <v>0</v>
      </c>
      <c r="AX94" s="10">
        <v>0</v>
      </c>
      <c r="AY94" s="10">
        <v>0</v>
      </c>
      <c r="AZ94" s="10">
        <v>1</v>
      </c>
      <c r="BA94" s="10">
        <v>0</v>
      </c>
      <c r="BC94" s="10">
        <v>34</v>
      </c>
      <c r="BD94" s="10">
        <v>2</v>
      </c>
      <c r="BE94" s="10">
        <v>2</v>
      </c>
      <c r="BF94" s="10">
        <v>0</v>
      </c>
      <c r="BG94" s="10">
        <v>1</v>
      </c>
      <c r="BH94" s="4">
        <v>7.9214934076131502</v>
      </c>
      <c r="BI94" s="8">
        <v>3</v>
      </c>
      <c r="BJ94" s="8">
        <v>2</v>
      </c>
      <c r="BK94" s="8">
        <v>0</v>
      </c>
      <c r="BL94" s="10" t="s">
        <v>192</v>
      </c>
      <c r="BM94" s="7">
        <v>6</v>
      </c>
      <c r="BN94" s="10"/>
      <c r="BO94" s="10">
        <v>5.2918914858975601</v>
      </c>
      <c r="BP94" s="10">
        <v>1.95680898385696</v>
      </c>
      <c r="BQ94" s="10">
        <v>30.898321816387</v>
      </c>
      <c r="BR94" s="10">
        <v>77.3938795656466</v>
      </c>
      <c r="BS94" s="10">
        <v>1</v>
      </c>
      <c r="BT94" s="10">
        <v>35.538005923001002</v>
      </c>
      <c r="BU94" s="10">
        <v>17.2222222222222</v>
      </c>
      <c r="BV94" s="10">
        <v>38.437978560490002</v>
      </c>
      <c r="BW94" s="10">
        <v>4.6445481502058801</v>
      </c>
      <c r="BX94" s="10"/>
      <c r="BY94" s="10"/>
      <c r="BZ94" s="10"/>
      <c r="CA94" s="10"/>
      <c r="CB94" s="10"/>
      <c r="CC94" s="10"/>
      <c r="CD94" s="10"/>
      <c r="CE94" s="10"/>
      <c r="CF94" s="10" t="s">
        <v>25</v>
      </c>
      <c r="CG94" s="10" t="s">
        <v>25</v>
      </c>
      <c r="CH94" s="10" t="s">
        <v>25</v>
      </c>
      <c r="CI94" s="10" t="s">
        <v>25</v>
      </c>
      <c r="CJ94" s="10" t="s">
        <v>25</v>
      </c>
      <c r="CK94" s="10" t="s">
        <v>25</v>
      </c>
      <c r="CL94" s="10">
        <v>0</v>
      </c>
      <c r="CM94" s="10" t="s">
        <v>488</v>
      </c>
      <c r="CN94" s="10" t="s">
        <v>489</v>
      </c>
      <c r="CO94" s="10" t="s">
        <v>490</v>
      </c>
      <c r="CP94" s="10"/>
    </row>
    <row r="95" spans="1:94" s="6" customFormat="1">
      <c r="A95" s="9" t="s">
        <v>193</v>
      </c>
      <c r="B95" s="6" t="s">
        <v>41</v>
      </c>
      <c r="C95" s="6" t="s">
        <v>18</v>
      </c>
      <c r="D95" s="2">
        <f t="shared" si="5"/>
        <v>55</v>
      </c>
      <c r="E95" s="3">
        <v>44294</v>
      </c>
      <c r="F95" s="3">
        <v>44349</v>
      </c>
      <c r="G95" s="3"/>
      <c r="H95" s="6">
        <v>4</v>
      </c>
      <c r="I95" s="10">
        <v>14</v>
      </c>
      <c r="J95" s="10">
        <v>1</v>
      </c>
      <c r="K95" s="10">
        <v>0</v>
      </c>
      <c r="L95" s="10">
        <v>0</v>
      </c>
      <c r="M95" s="10">
        <v>0</v>
      </c>
      <c r="N95" s="87">
        <v>7.5293712919573501</v>
      </c>
      <c r="O95" s="10">
        <v>0</v>
      </c>
      <c r="P95" s="10">
        <v>1</v>
      </c>
      <c r="Q95" s="10">
        <v>0</v>
      </c>
      <c r="R95" s="10"/>
      <c r="S95" s="10">
        <v>4</v>
      </c>
      <c r="T95" s="10">
        <v>1</v>
      </c>
      <c r="U95" s="87">
        <v>10.7930092249869</v>
      </c>
      <c r="V95" s="87">
        <v>1.0247947294030599</v>
      </c>
      <c r="W95" s="10">
        <v>20.1530612244898</v>
      </c>
      <c r="X95" s="10">
        <v>99.744897959183703</v>
      </c>
      <c r="Y95" s="10">
        <v>0</v>
      </c>
      <c r="Z95" s="10">
        <v>62.755102040816297</v>
      </c>
      <c r="AA95" s="10">
        <v>28.455284552845502</v>
      </c>
      <c r="AB95" s="10">
        <v>6.1643835616438398</v>
      </c>
      <c r="AC95" s="10">
        <v>7.0590437713853502</v>
      </c>
      <c r="AD95" s="10">
        <v>1</v>
      </c>
      <c r="AE95" s="4">
        <v>22</v>
      </c>
      <c r="AF95" s="4">
        <v>1</v>
      </c>
      <c r="AG95" s="10">
        <v>1</v>
      </c>
      <c r="AH95" s="4">
        <v>0.5</v>
      </c>
      <c r="AI95" s="10">
        <v>1</v>
      </c>
      <c r="AJ95" s="10">
        <v>1</v>
      </c>
      <c r="AK95" s="10">
        <v>0</v>
      </c>
      <c r="AL95" s="10">
        <v>0</v>
      </c>
      <c r="AM95" s="10">
        <v>4.34809060248958E-2</v>
      </c>
      <c r="AN95" s="87">
        <v>5.8608560584390998</v>
      </c>
      <c r="AO95" s="87">
        <v>3.1838291851095302</v>
      </c>
      <c r="AP95" s="87">
        <v>29.268292682926798</v>
      </c>
      <c r="AQ95" s="7">
        <v>0</v>
      </c>
      <c r="AR95" s="7">
        <v>0</v>
      </c>
      <c r="AS95" s="10">
        <v>4</v>
      </c>
      <c r="AT95" s="10">
        <v>1</v>
      </c>
      <c r="AU95" s="7">
        <v>3</v>
      </c>
      <c r="AV95" s="10">
        <v>1</v>
      </c>
      <c r="AW95" s="10">
        <v>0</v>
      </c>
      <c r="AX95" s="10">
        <v>1</v>
      </c>
      <c r="AY95" s="10">
        <v>0</v>
      </c>
      <c r="AZ95" s="10">
        <v>0</v>
      </c>
      <c r="BA95" s="10">
        <v>0</v>
      </c>
      <c r="BC95" s="10">
        <v>12</v>
      </c>
      <c r="BD95" s="10">
        <v>0</v>
      </c>
      <c r="BE95" s="10">
        <v>0</v>
      </c>
      <c r="BF95" s="10">
        <v>0</v>
      </c>
      <c r="BG95" s="10">
        <v>0</v>
      </c>
      <c r="BH95" s="4">
        <v>11.2949885906523</v>
      </c>
      <c r="BI95" s="8">
        <v>2</v>
      </c>
      <c r="BJ95" s="8">
        <v>2</v>
      </c>
      <c r="BK95" s="8">
        <v>1</v>
      </c>
      <c r="BL95" s="10" t="s">
        <v>194</v>
      </c>
      <c r="BM95" s="7">
        <v>5</v>
      </c>
      <c r="BN95" s="10"/>
      <c r="BO95" s="10">
        <v>0.90084493552182798</v>
      </c>
      <c r="BP95" s="10">
        <v>1.1659628648892499</v>
      </c>
      <c r="BQ95" s="10">
        <v>21.4876033057851</v>
      </c>
      <c r="BR95" s="10">
        <v>96.418732782369204</v>
      </c>
      <c r="BS95" s="10">
        <v>0</v>
      </c>
      <c r="BT95" s="10">
        <v>36.088154269972499</v>
      </c>
      <c r="BU95" s="10">
        <v>3.0534351145038201</v>
      </c>
      <c r="BV95" s="10">
        <v>32.857142857142897</v>
      </c>
      <c r="BW95" s="10">
        <v>3.4804645022051699</v>
      </c>
      <c r="BX95" s="10"/>
      <c r="BY95" s="10"/>
      <c r="BZ95" s="10"/>
      <c r="CA95" s="10"/>
      <c r="CB95" s="10"/>
      <c r="CC95" s="10"/>
      <c r="CD95" s="10"/>
      <c r="CE95" s="10"/>
      <c r="CF95" s="10" t="s">
        <v>25</v>
      </c>
      <c r="CG95" s="10" t="s">
        <v>25</v>
      </c>
      <c r="CH95" s="10" t="s">
        <v>25</v>
      </c>
      <c r="CI95" s="10" t="s">
        <v>25</v>
      </c>
      <c r="CJ95" s="10" t="s">
        <v>25</v>
      </c>
      <c r="CK95" s="10" t="s">
        <v>25</v>
      </c>
      <c r="CL95" s="10" t="s">
        <v>25</v>
      </c>
      <c r="CM95" s="10" t="s">
        <v>25</v>
      </c>
      <c r="CN95" s="10" t="s">
        <v>25</v>
      </c>
      <c r="CO95" s="10" t="s">
        <v>25</v>
      </c>
      <c r="CP95" s="10"/>
    </row>
    <row r="96" spans="1:94" s="6" customFormat="1">
      <c r="A96" s="9" t="s">
        <v>195</v>
      </c>
      <c r="B96" s="6" t="s">
        <v>41</v>
      </c>
      <c r="C96" s="6" t="s">
        <v>18</v>
      </c>
      <c r="D96" s="2">
        <f t="shared" si="5"/>
        <v>55</v>
      </c>
      <c r="E96" s="3">
        <v>44294</v>
      </c>
      <c r="F96" s="3">
        <v>44349</v>
      </c>
      <c r="G96" s="3"/>
      <c r="H96" s="6">
        <v>4</v>
      </c>
      <c r="I96" s="10">
        <v>1</v>
      </c>
      <c r="J96" s="10">
        <v>0</v>
      </c>
      <c r="K96" s="10">
        <v>0</v>
      </c>
      <c r="L96" s="10">
        <v>0</v>
      </c>
      <c r="M96" s="10">
        <v>0</v>
      </c>
      <c r="N96" s="87">
        <v>19.678656102168802</v>
      </c>
      <c r="O96" s="10">
        <v>2</v>
      </c>
      <c r="P96" s="10">
        <v>1</v>
      </c>
      <c r="Q96" s="10">
        <v>1</v>
      </c>
      <c r="R96" s="10"/>
      <c r="S96" s="10">
        <v>1</v>
      </c>
      <c r="T96" s="10">
        <v>0</v>
      </c>
      <c r="U96" s="87">
        <v>13.9976866421029</v>
      </c>
      <c r="V96" s="87">
        <v>0.222862234273183</v>
      </c>
      <c r="W96" s="10">
        <v>2.5641025641025599</v>
      </c>
      <c r="X96" s="10">
        <v>100</v>
      </c>
      <c r="Y96" s="10">
        <v>0</v>
      </c>
      <c r="Z96" s="10">
        <v>69.230769230769198</v>
      </c>
      <c r="AA96" s="10">
        <v>3.7037037037037002</v>
      </c>
      <c r="AB96" s="10">
        <v>0</v>
      </c>
      <c r="AC96" s="10">
        <v>4.7062354713978198</v>
      </c>
      <c r="AD96" s="10">
        <v>5</v>
      </c>
      <c r="AE96" s="4">
        <v>11</v>
      </c>
      <c r="AF96" s="4">
        <v>1</v>
      </c>
      <c r="AG96" s="10">
        <v>1</v>
      </c>
      <c r="AH96" s="86">
        <v>3.5</v>
      </c>
      <c r="AI96" s="10">
        <v>2</v>
      </c>
      <c r="AJ96" s="10">
        <v>1</v>
      </c>
      <c r="AK96" s="10">
        <v>0</v>
      </c>
      <c r="AL96" s="10">
        <v>0</v>
      </c>
      <c r="AM96" s="10">
        <v>0.16312926246878301</v>
      </c>
      <c r="AN96" s="87">
        <v>20.035878290649599</v>
      </c>
      <c r="AO96" s="87">
        <v>3.4489063459138101</v>
      </c>
      <c r="AP96" s="87">
        <v>42.957746478873197</v>
      </c>
      <c r="AQ96" s="7">
        <v>0</v>
      </c>
      <c r="AR96" s="7">
        <v>0</v>
      </c>
      <c r="AS96" s="10">
        <v>6</v>
      </c>
      <c r="AT96" s="10">
        <v>3</v>
      </c>
      <c r="AU96" s="7">
        <v>1</v>
      </c>
      <c r="AV96" s="10">
        <v>1</v>
      </c>
      <c r="AW96" s="10">
        <v>0</v>
      </c>
      <c r="AX96" s="10">
        <v>0</v>
      </c>
      <c r="AY96" s="10">
        <v>0</v>
      </c>
      <c r="AZ96" s="10">
        <v>1</v>
      </c>
      <c r="BA96" s="10">
        <v>0</v>
      </c>
      <c r="BC96" s="10">
        <v>63</v>
      </c>
      <c r="BD96" s="10">
        <v>2</v>
      </c>
      <c r="BE96" s="10">
        <v>3</v>
      </c>
      <c r="BF96" s="10">
        <v>0</v>
      </c>
      <c r="BG96" s="10">
        <v>4</v>
      </c>
      <c r="BH96" s="4">
        <v>10.5892871438841</v>
      </c>
      <c r="BI96" s="8">
        <v>0</v>
      </c>
      <c r="BJ96" s="8">
        <v>2</v>
      </c>
      <c r="BK96" s="8">
        <v>1</v>
      </c>
      <c r="BL96" s="10" t="s">
        <v>196</v>
      </c>
      <c r="BM96" s="7">
        <v>2</v>
      </c>
      <c r="BN96" s="10"/>
      <c r="BO96" s="10">
        <v>15.251319411571499</v>
      </c>
      <c r="BP96" s="10">
        <v>3.7659187717414699</v>
      </c>
      <c r="BQ96" s="10">
        <v>32.223983095615402</v>
      </c>
      <c r="BR96" s="10">
        <v>37.823560486001099</v>
      </c>
      <c r="BS96" s="10">
        <v>4</v>
      </c>
      <c r="BT96" s="10">
        <v>55.361859482303203</v>
      </c>
      <c r="BU96" s="10">
        <v>37.690839694656503</v>
      </c>
      <c r="BV96" s="10">
        <v>25.443786982248501</v>
      </c>
      <c r="BW96" s="10">
        <v>1.8489547237644</v>
      </c>
      <c r="BX96" s="10"/>
      <c r="BY96" s="10"/>
      <c r="BZ96" s="10"/>
      <c r="CA96" s="10"/>
      <c r="CB96" s="10"/>
      <c r="CC96" s="10"/>
      <c r="CD96" s="10"/>
      <c r="CE96" s="10"/>
      <c r="CF96" s="10">
        <v>30.341113105924599</v>
      </c>
      <c r="CG96" s="10">
        <v>42.998204667863597</v>
      </c>
      <c r="CH96" s="10">
        <v>2</v>
      </c>
      <c r="CI96" s="10">
        <v>52.064631956912002</v>
      </c>
      <c r="CJ96" s="10">
        <v>39.310344827586199</v>
      </c>
      <c r="CK96" s="10">
        <v>20.5992509363296</v>
      </c>
      <c r="CL96" s="10" t="s">
        <v>491</v>
      </c>
      <c r="CM96" s="10" t="s">
        <v>492</v>
      </c>
      <c r="CN96" s="10" t="s">
        <v>493</v>
      </c>
      <c r="CO96" s="10" t="s">
        <v>494</v>
      </c>
      <c r="CP96" s="10"/>
    </row>
    <row r="97" spans="1:94" s="6" customFormat="1">
      <c r="A97" s="9" t="s">
        <v>197</v>
      </c>
      <c r="B97" s="6" t="s">
        <v>41</v>
      </c>
      <c r="C97" s="6" t="s">
        <v>18</v>
      </c>
      <c r="D97" s="2">
        <f t="shared" si="5"/>
        <v>55</v>
      </c>
      <c r="E97" s="3">
        <v>44294</v>
      </c>
      <c r="F97" s="3">
        <v>44349</v>
      </c>
      <c r="G97" s="3"/>
      <c r="H97" s="6">
        <v>4</v>
      </c>
      <c r="I97" s="10">
        <v>5</v>
      </c>
      <c r="J97" s="10">
        <v>0</v>
      </c>
      <c r="K97" s="10">
        <v>0</v>
      </c>
      <c r="L97" s="10">
        <v>0</v>
      </c>
      <c r="M97" s="10">
        <v>0</v>
      </c>
      <c r="N97" s="87">
        <v>8.1065237534157308</v>
      </c>
      <c r="O97" s="10">
        <v>0</v>
      </c>
      <c r="P97" s="10">
        <v>1</v>
      </c>
      <c r="Q97" s="10">
        <v>0</v>
      </c>
      <c r="R97" s="10"/>
      <c r="S97" s="10">
        <v>5</v>
      </c>
      <c r="T97" s="10">
        <v>0</v>
      </c>
      <c r="U97" s="87">
        <v>9.2513734660887295</v>
      </c>
      <c r="V97" s="87">
        <v>0.36364905796195202</v>
      </c>
      <c r="W97" s="10">
        <v>16.025641025641001</v>
      </c>
      <c r="X97" s="10">
        <v>100</v>
      </c>
      <c r="Y97" s="10">
        <v>0</v>
      </c>
      <c r="Z97" s="10">
        <v>34.615384615384599</v>
      </c>
      <c r="AA97" s="10">
        <v>5.5555555555555598</v>
      </c>
      <c r="AB97" s="10">
        <v>21.568627450980401</v>
      </c>
      <c r="AC97" s="10">
        <v>5.73016463312785</v>
      </c>
      <c r="AD97" s="10">
        <v>2</v>
      </c>
      <c r="AE97" s="4">
        <v>17</v>
      </c>
      <c r="AF97" s="4">
        <v>1</v>
      </c>
      <c r="AG97" s="10">
        <v>1</v>
      </c>
      <c r="AH97" s="4">
        <v>0.5</v>
      </c>
      <c r="AI97" s="10">
        <v>1</v>
      </c>
      <c r="AJ97" s="10">
        <v>1</v>
      </c>
      <c r="AK97" s="10">
        <v>0</v>
      </c>
      <c r="AL97" s="10">
        <v>0</v>
      </c>
      <c r="AM97" s="10">
        <v>4.09768226180134E-2</v>
      </c>
      <c r="AN97" s="87">
        <v>9.9117938902991192</v>
      </c>
      <c r="AO97" s="87">
        <v>2.6174374280224</v>
      </c>
      <c r="AP97" s="87">
        <v>61.702127659574501</v>
      </c>
      <c r="AQ97" s="7">
        <v>0</v>
      </c>
      <c r="AR97" s="7">
        <v>0</v>
      </c>
      <c r="AS97" s="10">
        <v>4</v>
      </c>
      <c r="AT97" s="10">
        <v>6</v>
      </c>
      <c r="AU97" s="10">
        <v>1</v>
      </c>
      <c r="AV97" s="10">
        <v>1</v>
      </c>
      <c r="AW97" s="10">
        <v>0</v>
      </c>
      <c r="AX97" s="10">
        <v>1</v>
      </c>
      <c r="AY97" s="10">
        <v>0</v>
      </c>
      <c r="AZ97" s="10">
        <v>0</v>
      </c>
      <c r="BA97" s="10">
        <v>0</v>
      </c>
      <c r="BC97" s="10">
        <v>36</v>
      </c>
      <c r="BD97" s="10">
        <v>1</v>
      </c>
      <c r="BE97" s="10">
        <v>3</v>
      </c>
      <c r="BF97" s="10">
        <v>0</v>
      </c>
      <c r="BG97" s="10">
        <v>2</v>
      </c>
      <c r="BH97" s="4">
        <v>5.7198763441743097</v>
      </c>
      <c r="BI97" s="8">
        <v>0</v>
      </c>
      <c r="BJ97" s="8">
        <v>1</v>
      </c>
      <c r="BK97" s="8">
        <v>0</v>
      </c>
      <c r="BL97" s="10" t="s">
        <v>198</v>
      </c>
      <c r="BM97" s="7">
        <v>4</v>
      </c>
      <c r="BN97" s="10"/>
      <c r="BO97" s="10">
        <v>9.7722229569039403</v>
      </c>
      <c r="BP97" s="10">
        <v>2.6869495680620799</v>
      </c>
      <c r="BQ97" s="10">
        <v>29.879740980573501</v>
      </c>
      <c r="BR97" s="10">
        <v>69.7502312673451</v>
      </c>
      <c r="BS97" s="10">
        <v>3</v>
      </c>
      <c r="BT97" s="10">
        <v>33.950046253468997</v>
      </c>
      <c r="BU97" s="10">
        <v>18.8010899182561</v>
      </c>
      <c r="BV97" s="10">
        <v>35.574229691876802</v>
      </c>
      <c r="BW97" s="10">
        <v>0.79814501975088104</v>
      </c>
      <c r="BX97" s="10"/>
      <c r="BY97" s="10"/>
      <c r="BZ97" s="10"/>
      <c r="CA97" s="10"/>
      <c r="CB97" s="10"/>
      <c r="CC97" s="10"/>
      <c r="CD97" s="10"/>
      <c r="CE97" s="10"/>
      <c r="CF97" s="10">
        <v>30.746268656716399</v>
      </c>
      <c r="CG97" s="10">
        <v>67.462686567164198</v>
      </c>
      <c r="CH97" s="10">
        <v>3</v>
      </c>
      <c r="CI97" s="10">
        <v>29.054726368159201</v>
      </c>
      <c r="CJ97" s="10">
        <v>18.835616438356201</v>
      </c>
      <c r="CK97" s="10">
        <v>35.624123422159897</v>
      </c>
      <c r="CL97" s="10">
        <v>0</v>
      </c>
      <c r="CM97" s="10" t="s">
        <v>495</v>
      </c>
      <c r="CN97" s="10" t="s">
        <v>496</v>
      </c>
      <c r="CO97" s="10" t="s">
        <v>497</v>
      </c>
      <c r="CP97" s="10"/>
    </row>
    <row r="98" spans="1:94" s="6" customFormat="1">
      <c r="A98" s="9" t="s">
        <v>199</v>
      </c>
      <c r="B98" s="6" t="s">
        <v>17</v>
      </c>
      <c r="C98" s="6" t="s">
        <v>18</v>
      </c>
      <c r="D98" s="2">
        <f t="shared" si="5"/>
        <v>55</v>
      </c>
      <c r="E98" s="3">
        <v>44294</v>
      </c>
      <c r="F98" s="3">
        <v>44349</v>
      </c>
      <c r="G98" s="3"/>
      <c r="H98" s="6">
        <v>4</v>
      </c>
      <c r="I98" s="10">
        <v>5</v>
      </c>
      <c r="J98" s="10">
        <v>0</v>
      </c>
      <c r="K98" s="10">
        <v>0</v>
      </c>
      <c r="L98" s="10">
        <v>0</v>
      </c>
      <c r="M98" s="10">
        <v>0</v>
      </c>
      <c r="N98" s="87">
        <v>5.46443597708239</v>
      </c>
      <c r="O98" s="10">
        <v>1</v>
      </c>
      <c r="P98" s="10">
        <v>1</v>
      </c>
      <c r="Q98" s="10">
        <v>2</v>
      </c>
      <c r="R98" s="10"/>
      <c r="S98" s="10">
        <v>4</v>
      </c>
      <c r="T98" s="10">
        <v>0</v>
      </c>
      <c r="U98" s="87">
        <v>6.48869393396724</v>
      </c>
      <c r="V98" s="87">
        <v>0.29317656225307998</v>
      </c>
      <c r="W98" s="10">
        <v>27.659574468085101</v>
      </c>
      <c r="X98" s="10">
        <v>29.787234042553202</v>
      </c>
      <c r="Y98" s="10">
        <v>0</v>
      </c>
      <c r="Z98" s="10">
        <v>52.4822695035461</v>
      </c>
      <c r="AA98" s="10">
        <v>37.837837837837803</v>
      </c>
      <c r="AB98" s="10">
        <v>16.417910447761201</v>
      </c>
      <c r="AC98" s="10">
        <v>9.6635017737434001</v>
      </c>
      <c r="AD98" s="10">
        <v>17</v>
      </c>
      <c r="AE98" s="4">
        <v>28</v>
      </c>
      <c r="AF98" s="4">
        <v>4</v>
      </c>
      <c r="AG98" s="10">
        <v>4</v>
      </c>
      <c r="AH98" s="4">
        <v>7</v>
      </c>
      <c r="AI98" s="10">
        <v>2</v>
      </c>
      <c r="AJ98" s="10">
        <v>0</v>
      </c>
      <c r="AK98" s="10">
        <v>1</v>
      </c>
      <c r="AL98" s="10">
        <v>2</v>
      </c>
      <c r="AM98" s="10">
        <v>0.98830200333753704</v>
      </c>
      <c r="AN98" s="87">
        <v>24.6787994670219</v>
      </c>
      <c r="AO98" s="87">
        <v>5.6616223153994403</v>
      </c>
      <c r="AP98" s="87">
        <v>44.761904761904802</v>
      </c>
      <c r="AQ98" s="7">
        <v>0</v>
      </c>
      <c r="AR98" s="7">
        <v>0</v>
      </c>
      <c r="AS98" s="10">
        <v>7</v>
      </c>
      <c r="AT98" s="10">
        <v>2</v>
      </c>
      <c r="AU98" s="7">
        <v>1</v>
      </c>
      <c r="AV98" s="10">
        <v>4</v>
      </c>
      <c r="AW98" s="10">
        <v>0</v>
      </c>
      <c r="AX98" s="10">
        <v>0</v>
      </c>
      <c r="AY98" s="10">
        <v>1</v>
      </c>
      <c r="AZ98" s="10">
        <v>3</v>
      </c>
      <c r="BA98" s="10">
        <v>0</v>
      </c>
      <c r="BC98" s="10">
        <v>97</v>
      </c>
      <c r="BD98" s="10">
        <v>2</v>
      </c>
      <c r="BE98" s="10">
        <v>3</v>
      </c>
      <c r="BF98" s="10">
        <v>0</v>
      </c>
      <c r="BG98" s="10">
        <v>1</v>
      </c>
      <c r="BH98" s="4">
        <v>1.65760887969736</v>
      </c>
      <c r="BI98" s="8">
        <v>1</v>
      </c>
      <c r="BJ98" s="8">
        <v>1</v>
      </c>
      <c r="BK98" s="8">
        <v>1</v>
      </c>
      <c r="BL98" s="10" t="s">
        <v>200</v>
      </c>
      <c r="BM98" s="7">
        <v>3</v>
      </c>
      <c r="BN98" s="10"/>
      <c r="BO98" s="10">
        <v>10.1572548406106</v>
      </c>
      <c r="BP98" s="10">
        <v>3.6337798299388102</v>
      </c>
      <c r="BQ98" s="10">
        <v>56.399726214921301</v>
      </c>
      <c r="BR98" s="10">
        <v>53.216974674880198</v>
      </c>
      <c r="BS98" s="10">
        <v>5</v>
      </c>
      <c r="BT98" s="10">
        <v>58.761122518822702</v>
      </c>
      <c r="BU98" s="10">
        <v>60.978450786255102</v>
      </c>
      <c r="BV98" s="10">
        <v>49.875518672199199</v>
      </c>
      <c r="BW98" s="10">
        <v>5.66267342661095</v>
      </c>
      <c r="BX98" s="10"/>
      <c r="BY98" s="10"/>
      <c r="BZ98" s="10"/>
      <c r="CA98" s="10"/>
      <c r="CB98" s="10"/>
      <c r="CC98" s="10"/>
      <c r="CD98" s="10"/>
      <c r="CE98" s="10"/>
      <c r="CF98" s="10">
        <v>55.784469096671998</v>
      </c>
      <c r="CG98" s="10">
        <v>49.022715266772302</v>
      </c>
      <c r="CH98" s="10">
        <v>3</v>
      </c>
      <c r="CI98" s="10">
        <v>63.866877971473897</v>
      </c>
      <c r="CJ98" s="10">
        <v>59.139784946236603</v>
      </c>
      <c r="CK98" s="10">
        <v>49.853801169590596</v>
      </c>
      <c r="CL98" s="10" t="s">
        <v>498</v>
      </c>
      <c r="CM98" s="10" t="s">
        <v>499</v>
      </c>
      <c r="CN98" s="10" t="s">
        <v>500</v>
      </c>
      <c r="CO98" s="10" t="s">
        <v>501</v>
      </c>
      <c r="CP98" s="10"/>
    </row>
    <row r="99" spans="1:94" s="6" customFormat="1">
      <c r="A99" s="9" t="s">
        <v>201</v>
      </c>
      <c r="B99" s="6" t="s">
        <v>17</v>
      </c>
      <c r="C99" s="6" t="s">
        <v>18</v>
      </c>
      <c r="D99" s="2">
        <f t="shared" si="5"/>
        <v>55</v>
      </c>
      <c r="E99" s="3">
        <v>44294</v>
      </c>
      <c r="F99" s="3">
        <v>44349</v>
      </c>
      <c r="G99" s="3"/>
      <c r="H99" s="6">
        <v>4</v>
      </c>
      <c r="I99" s="10">
        <v>35</v>
      </c>
      <c r="J99" s="10">
        <v>3</v>
      </c>
      <c r="K99" s="10">
        <v>0</v>
      </c>
      <c r="L99" s="10">
        <v>0</v>
      </c>
      <c r="M99" s="10">
        <v>0</v>
      </c>
      <c r="N99" s="87">
        <v>8.3412381696805706</v>
      </c>
      <c r="O99" s="10">
        <v>2</v>
      </c>
      <c r="P99" s="10">
        <v>3</v>
      </c>
      <c r="Q99" s="10">
        <v>1</v>
      </c>
      <c r="R99" s="10"/>
      <c r="S99" s="10">
        <v>3</v>
      </c>
      <c r="T99" s="10">
        <v>3</v>
      </c>
      <c r="U99" s="87">
        <v>16.357776918910599</v>
      </c>
      <c r="V99" s="87">
        <v>2.2650851586645699</v>
      </c>
      <c r="W99" s="10">
        <v>42.587346553352198</v>
      </c>
      <c r="X99" s="10">
        <v>98.677998111425893</v>
      </c>
      <c r="Y99" s="10">
        <v>0</v>
      </c>
      <c r="Z99" s="10">
        <v>72.615675165250195</v>
      </c>
      <c r="AA99" s="10">
        <v>49.804941482444697</v>
      </c>
      <c r="AB99" s="10">
        <v>23.448275862069</v>
      </c>
      <c r="AC99" s="10">
        <v>7.90015304574308</v>
      </c>
      <c r="AD99" s="10">
        <v>38</v>
      </c>
      <c r="AE99" s="4">
        <v>78</v>
      </c>
      <c r="AF99" s="4">
        <v>1</v>
      </c>
      <c r="AG99" s="10">
        <v>1</v>
      </c>
      <c r="AH99" s="4">
        <v>25.5</v>
      </c>
      <c r="AI99" s="10">
        <v>3</v>
      </c>
      <c r="AJ99" s="10">
        <v>3</v>
      </c>
      <c r="AK99" s="10">
        <v>4</v>
      </c>
      <c r="AL99" s="10">
        <v>0</v>
      </c>
      <c r="AM99" s="10">
        <v>1.40709018576135</v>
      </c>
      <c r="AN99" s="87">
        <v>37.821396381891802</v>
      </c>
      <c r="AO99" s="87">
        <v>3.6733846668432699</v>
      </c>
      <c r="AP99" s="87">
        <v>57.043478260869598</v>
      </c>
      <c r="AQ99" s="7">
        <v>0</v>
      </c>
      <c r="AR99" s="7">
        <v>0</v>
      </c>
      <c r="AS99" s="10">
        <v>6</v>
      </c>
      <c r="AT99" s="10">
        <v>4</v>
      </c>
      <c r="AU99" s="7">
        <v>1</v>
      </c>
      <c r="AV99" s="10">
        <v>5</v>
      </c>
      <c r="AW99" s="10">
        <v>0</v>
      </c>
      <c r="AX99" s="10">
        <v>1</v>
      </c>
      <c r="AY99" s="10">
        <v>0</v>
      </c>
      <c r="AZ99" s="10">
        <v>1</v>
      </c>
      <c r="BA99" s="10">
        <v>3</v>
      </c>
      <c r="BC99" s="10">
        <v>69</v>
      </c>
      <c r="BD99" s="10">
        <v>1</v>
      </c>
      <c r="BE99" s="10">
        <v>1</v>
      </c>
      <c r="BF99" s="10">
        <v>0</v>
      </c>
      <c r="BG99" s="10">
        <v>0</v>
      </c>
      <c r="BH99" s="4">
        <v>5.8324405819694602</v>
      </c>
      <c r="BI99" s="8">
        <v>3</v>
      </c>
      <c r="BJ99" s="8">
        <v>3</v>
      </c>
      <c r="BK99" s="8">
        <v>1</v>
      </c>
      <c r="BL99" s="10" t="s">
        <v>202</v>
      </c>
      <c r="BM99" s="7">
        <v>5</v>
      </c>
      <c r="BN99" s="10"/>
      <c r="BO99" s="10">
        <v>8.4301596676677502</v>
      </c>
      <c r="BP99" s="10">
        <v>2.0224943983006698</v>
      </c>
      <c r="BQ99" s="10">
        <v>67.0345489443378</v>
      </c>
      <c r="BR99" s="10">
        <v>35.076775431861797</v>
      </c>
      <c r="BS99" s="10">
        <v>4</v>
      </c>
      <c r="BT99" s="10">
        <v>8.7332053742802298</v>
      </c>
      <c r="BU99" s="10">
        <v>10.989010989011</v>
      </c>
      <c r="BV99" s="10">
        <v>72.397476340693999</v>
      </c>
      <c r="BW99" s="10">
        <v>0.84441100835536897</v>
      </c>
      <c r="BX99" s="10"/>
      <c r="BY99" s="10"/>
      <c r="BZ99" s="10"/>
      <c r="CA99" s="10"/>
      <c r="CB99" s="10"/>
      <c r="CC99" s="10"/>
      <c r="CD99" s="10"/>
      <c r="CE99" s="10"/>
      <c r="CF99" s="10" t="s">
        <v>25</v>
      </c>
      <c r="CG99" s="10" t="s">
        <v>25</v>
      </c>
      <c r="CH99" s="10" t="s">
        <v>25</v>
      </c>
      <c r="CI99" s="10" t="s">
        <v>25</v>
      </c>
      <c r="CJ99" s="10" t="s">
        <v>25</v>
      </c>
      <c r="CK99" s="10" t="s">
        <v>25</v>
      </c>
      <c r="CL99" s="10">
        <v>0</v>
      </c>
      <c r="CM99" s="10" t="s">
        <v>502</v>
      </c>
      <c r="CN99" s="10" t="s">
        <v>503</v>
      </c>
      <c r="CO99" s="10" t="s">
        <v>504</v>
      </c>
      <c r="CP99" s="10"/>
    </row>
    <row r="100" spans="1:94" s="6" customFormat="1">
      <c r="A100" s="9" t="s">
        <v>203</v>
      </c>
      <c r="B100" s="6" t="s">
        <v>17</v>
      </c>
      <c r="C100" s="6" t="s">
        <v>18</v>
      </c>
      <c r="D100" s="2">
        <f t="shared" si="5"/>
        <v>55</v>
      </c>
      <c r="E100" s="3">
        <v>44294</v>
      </c>
      <c r="F100" s="3">
        <v>44349</v>
      </c>
      <c r="G100" s="3"/>
      <c r="H100" s="6">
        <v>4</v>
      </c>
      <c r="I100" s="10">
        <v>5</v>
      </c>
      <c r="J100" s="10">
        <v>0</v>
      </c>
      <c r="K100" s="10">
        <v>0</v>
      </c>
      <c r="L100" s="10">
        <v>0</v>
      </c>
      <c r="M100" s="10">
        <v>0</v>
      </c>
      <c r="N100" s="87">
        <v>8.4240388237567405</v>
      </c>
      <c r="O100" s="10">
        <v>0</v>
      </c>
      <c r="P100" s="10">
        <v>3</v>
      </c>
      <c r="Q100" s="10">
        <v>1</v>
      </c>
      <c r="R100" s="10"/>
      <c r="S100" s="10">
        <v>3</v>
      </c>
      <c r="T100" s="10">
        <v>0</v>
      </c>
      <c r="U100" s="87">
        <v>7.4464876086274803</v>
      </c>
      <c r="V100" s="87">
        <v>0.30151066032496399</v>
      </c>
      <c r="W100" s="10">
        <v>32.5</v>
      </c>
      <c r="X100" s="10">
        <v>100</v>
      </c>
      <c r="Y100" s="10">
        <v>0</v>
      </c>
      <c r="Z100" s="10">
        <v>50.8333333333333</v>
      </c>
      <c r="AA100" s="10">
        <v>37.7049180327869</v>
      </c>
      <c r="AB100" s="10">
        <v>27.118644067796598</v>
      </c>
      <c r="AC100" s="10">
        <v>4.71879894636744</v>
      </c>
      <c r="AD100" s="10">
        <v>25</v>
      </c>
      <c r="AE100" s="4">
        <v>35</v>
      </c>
      <c r="AF100" s="4">
        <v>0.5</v>
      </c>
      <c r="AG100" s="10">
        <v>0.5</v>
      </c>
      <c r="AH100" s="4">
        <v>20</v>
      </c>
      <c r="AI100" s="10">
        <v>3</v>
      </c>
      <c r="AJ100" s="10">
        <v>2</v>
      </c>
      <c r="AK100" s="10">
        <v>0</v>
      </c>
      <c r="AL100" s="10">
        <v>0</v>
      </c>
      <c r="AM100" s="10">
        <v>0.55708023402482498</v>
      </c>
      <c r="AN100" s="87">
        <v>32.894816346534398</v>
      </c>
      <c r="AO100" s="87">
        <v>2.1636063783343902</v>
      </c>
      <c r="AP100" s="87">
        <v>76.714100905562702</v>
      </c>
      <c r="AQ100" s="7">
        <v>0</v>
      </c>
      <c r="AR100" s="7">
        <v>0</v>
      </c>
      <c r="AS100" s="10">
        <v>7</v>
      </c>
      <c r="AT100" s="10">
        <v>5</v>
      </c>
      <c r="AU100" s="7">
        <v>1</v>
      </c>
      <c r="AV100" s="10">
        <v>2</v>
      </c>
      <c r="AW100" s="10">
        <v>0</v>
      </c>
      <c r="AX100" s="10">
        <v>0</v>
      </c>
      <c r="AY100" s="10">
        <v>0</v>
      </c>
      <c r="AZ100" s="10">
        <v>1</v>
      </c>
      <c r="BA100" s="10">
        <v>1</v>
      </c>
      <c r="BC100" s="10">
        <v>256</v>
      </c>
      <c r="BD100" s="10">
        <v>3</v>
      </c>
      <c r="BE100" s="10">
        <v>3</v>
      </c>
      <c r="BF100" s="10">
        <v>0</v>
      </c>
      <c r="BG100" s="10">
        <v>0</v>
      </c>
      <c r="BH100" s="4">
        <v>8.77158759014395</v>
      </c>
      <c r="BI100" s="8">
        <v>2</v>
      </c>
      <c r="BJ100" s="8">
        <v>3</v>
      </c>
      <c r="BK100" s="8">
        <v>1</v>
      </c>
      <c r="BL100" s="10" t="s">
        <v>204</v>
      </c>
      <c r="BM100" s="7">
        <v>8</v>
      </c>
      <c r="BN100" s="10"/>
      <c r="BO100" s="10">
        <v>0.70530144211823897</v>
      </c>
      <c r="BP100" s="10">
        <v>4.1597009532916802</v>
      </c>
      <c r="BQ100" s="10">
        <v>78.740051261297694</v>
      </c>
      <c r="BR100" s="10">
        <v>88.061513557264306</v>
      </c>
      <c r="BS100" s="10">
        <v>2</v>
      </c>
      <c r="BT100" s="10">
        <v>28.4904896802914</v>
      </c>
      <c r="BU100" s="10">
        <v>71.969696969696997</v>
      </c>
      <c r="BV100" s="10">
        <v>81.437464629315201</v>
      </c>
      <c r="BW100" s="10">
        <v>5.5322746310437099</v>
      </c>
      <c r="BX100" s="10"/>
      <c r="BY100" s="10"/>
      <c r="BZ100" s="10"/>
      <c r="CA100" s="10"/>
      <c r="CB100" s="10"/>
      <c r="CC100" s="10"/>
      <c r="CD100" s="10"/>
      <c r="CE100" s="10"/>
      <c r="CF100" s="10">
        <v>76.6490461962767</v>
      </c>
      <c r="CG100" s="10">
        <v>90.186164100206895</v>
      </c>
      <c r="CH100" s="10">
        <v>1</v>
      </c>
      <c r="CI100" s="10">
        <v>13.1923695702137</v>
      </c>
      <c r="CJ100" s="10">
        <v>36.759581881533101</v>
      </c>
      <c r="CK100" s="10">
        <v>82.711146412496703</v>
      </c>
      <c r="CL100" s="10">
        <v>0</v>
      </c>
      <c r="CM100" s="10" t="s">
        <v>505</v>
      </c>
      <c r="CN100" s="10" t="s">
        <v>506</v>
      </c>
      <c r="CO100" s="10" t="s">
        <v>507</v>
      </c>
      <c r="CP100" s="10"/>
    </row>
    <row r="101" spans="1:94" s="6" customFormat="1">
      <c r="A101" s="9" t="s">
        <v>205</v>
      </c>
      <c r="B101" s="6" t="s">
        <v>17</v>
      </c>
      <c r="C101" s="6" t="s">
        <v>18</v>
      </c>
      <c r="D101" s="41">
        <f t="shared" si="5"/>
        <v>61</v>
      </c>
      <c r="E101" s="3">
        <v>44322</v>
      </c>
      <c r="F101" s="3">
        <v>44383</v>
      </c>
      <c r="G101" s="3"/>
      <c r="H101" s="6">
        <v>4</v>
      </c>
      <c r="I101" s="10">
        <f>39-12</f>
        <v>27</v>
      </c>
      <c r="J101" s="10">
        <v>3</v>
      </c>
      <c r="K101" s="10">
        <v>0</v>
      </c>
      <c r="L101" s="10">
        <v>0</v>
      </c>
      <c r="M101" s="10">
        <v>1</v>
      </c>
      <c r="N101" s="87">
        <v>5.6154209914159097</v>
      </c>
      <c r="O101" s="10">
        <v>2</v>
      </c>
      <c r="P101" s="10">
        <v>1</v>
      </c>
      <c r="Q101" s="10">
        <v>1</v>
      </c>
      <c r="R101" s="10"/>
      <c r="S101" s="10">
        <v>4</v>
      </c>
      <c r="T101" s="10">
        <v>3</v>
      </c>
      <c r="U101" s="87">
        <v>5.9097244703909997</v>
      </c>
      <c r="V101" s="87">
        <v>2.3043021715864</v>
      </c>
      <c r="W101" s="10">
        <v>13.8817480719794</v>
      </c>
      <c r="X101" s="10">
        <v>73.264781491002594</v>
      </c>
      <c r="Y101" s="10">
        <v>2</v>
      </c>
      <c r="Z101" s="10">
        <v>34.961439588688997</v>
      </c>
      <c r="AA101" s="10">
        <v>17.279411764705898</v>
      </c>
      <c r="AB101" s="10">
        <v>9.7014925373134293</v>
      </c>
      <c r="AC101" s="10">
        <v>4.4016477268858996</v>
      </c>
      <c r="AD101" s="10">
        <v>5</v>
      </c>
      <c r="AE101" s="10">
        <v>47</v>
      </c>
      <c r="AF101" s="10">
        <v>0</v>
      </c>
      <c r="AG101" s="10">
        <v>0.5</v>
      </c>
      <c r="AH101" s="10">
        <v>4</v>
      </c>
      <c r="AI101" s="10">
        <v>3</v>
      </c>
      <c r="AJ101" s="10">
        <v>3</v>
      </c>
      <c r="AK101" s="10">
        <v>0</v>
      </c>
      <c r="AL101" s="10">
        <v>0</v>
      </c>
      <c r="AM101" s="10">
        <v>0.206766598313184</v>
      </c>
      <c r="AN101" s="87">
        <v>14.0588773074036</v>
      </c>
      <c r="AO101" s="87">
        <v>4.34073324042006</v>
      </c>
      <c r="AP101" s="87">
        <v>40.559440559440603</v>
      </c>
      <c r="AQ101" s="7">
        <v>0</v>
      </c>
      <c r="AR101" s="7">
        <v>0</v>
      </c>
      <c r="AS101" s="10">
        <v>5</v>
      </c>
      <c r="AT101" s="10">
        <v>6</v>
      </c>
      <c r="AU101" s="7">
        <v>2</v>
      </c>
      <c r="AV101" s="10">
        <v>2</v>
      </c>
      <c r="AW101" s="10">
        <v>0</v>
      </c>
      <c r="AX101" s="10">
        <v>0</v>
      </c>
      <c r="AY101" s="10">
        <v>0</v>
      </c>
      <c r="AZ101" s="10">
        <v>2</v>
      </c>
      <c r="BA101" s="10">
        <v>0</v>
      </c>
      <c r="BC101" s="10">
        <v>12</v>
      </c>
      <c r="BD101" s="7">
        <v>0</v>
      </c>
      <c r="BE101" s="7">
        <v>0</v>
      </c>
      <c r="BF101" s="7">
        <v>0</v>
      </c>
      <c r="BG101" s="7">
        <v>1</v>
      </c>
      <c r="BH101" s="4">
        <v>11.182351354495101</v>
      </c>
      <c r="BI101" s="8">
        <v>1</v>
      </c>
      <c r="BJ101" s="8">
        <v>2</v>
      </c>
      <c r="BK101" s="8">
        <v>2</v>
      </c>
      <c r="BL101" s="10" t="s">
        <v>206</v>
      </c>
      <c r="BM101" s="7">
        <v>4</v>
      </c>
      <c r="BN101" s="10"/>
      <c r="BO101" s="10">
        <v>11.845962984556101</v>
      </c>
      <c r="BP101" s="10">
        <v>1.2279041177271499</v>
      </c>
      <c r="BQ101" s="10">
        <v>7.44985673352436</v>
      </c>
      <c r="BR101" s="10">
        <v>68.194842406876802</v>
      </c>
      <c r="BS101" s="10">
        <v>1</v>
      </c>
      <c r="BT101" s="10">
        <v>31.805157593123202</v>
      </c>
      <c r="BU101" s="10">
        <v>3.6036036036036001</v>
      </c>
      <c r="BV101" s="10">
        <v>9.2436974789915993</v>
      </c>
      <c r="BW101" s="10">
        <v>8.9828124833710206</v>
      </c>
      <c r="BX101" s="10"/>
      <c r="BY101" s="10"/>
      <c r="BZ101" s="10"/>
      <c r="CA101" s="10"/>
      <c r="CB101" s="10"/>
      <c r="CC101" s="10"/>
      <c r="CD101" s="10"/>
      <c r="CE101" s="10"/>
      <c r="CF101" s="10" t="s">
        <v>25</v>
      </c>
      <c r="CG101" s="10" t="s">
        <v>25</v>
      </c>
      <c r="CH101" s="10" t="s">
        <v>25</v>
      </c>
      <c r="CI101" s="10" t="s">
        <v>25</v>
      </c>
      <c r="CJ101" s="10" t="s">
        <v>25</v>
      </c>
      <c r="CK101" s="10" t="s">
        <v>25</v>
      </c>
      <c r="CL101" s="10" t="s">
        <v>25</v>
      </c>
      <c r="CM101" s="10" t="s">
        <v>25</v>
      </c>
      <c r="CN101" s="10" t="s">
        <v>25</v>
      </c>
      <c r="CO101" s="10" t="s">
        <v>25</v>
      </c>
      <c r="CP101" s="10"/>
    </row>
    <row r="102" spans="1:94" s="6" customFormat="1">
      <c r="A102" s="9" t="s">
        <v>207</v>
      </c>
      <c r="B102" s="6" t="s">
        <v>17</v>
      </c>
      <c r="C102" s="6" t="s">
        <v>18</v>
      </c>
      <c r="D102" s="41">
        <f t="shared" si="5"/>
        <v>61</v>
      </c>
      <c r="E102" s="3">
        <v>44322</v>
      </c>
      <c r="F102" s="3">
        <v>44383</v>
      </c>
      <c r="G102" s="3"/>
      <c r="H102" s="6">
        <v>4</v>
      </c>
      <c r="I102" s="10">
        <v>5</v>
      </c>
      <c r="J102" s="10">
        <v>0</v>
      </c>
      <c r="K102" s="10">
        <v>0</v>
      </c>
      <c r="L102" s="10">
        <v>0</v>
      </c>
      <c r="M102" s="10">
        <v>0</v>
      </c>
      <c r="N102" s="87">
        <v>4.9085132178972</v>
      </c>
      <c r="O102" s="10">
        <v>1</v>
      </c>
      <c r="P102" s="10">
        <v>3</v>
      </c>
      <c r="Q102" s="10">
        <v>1</v>
      </c>
      <c r="R102" s="10"/>
      <c r="S102" s="10">
        <v>4</v>
      </c>
      <c r="T102" s="10">
        <v>0</v>
      </c>
      <c r="U102" s="87">
        <v>9.8100381224670095</v>
      </c>
      <c r="V102" s="87">
        <v>0.30171852246678299</v>
      </c>
      <c r="W102" s="10">
        <v>26.811594202898601</v>
      </c>
      <c r="X102" s="10">
        <v>100</v>
      </c>
      <c r="Y102" s="10">
        <v>0</v>
      </c>
      <c r="Z102" s="10">
        <v>68.840579710144894</v>
      </c>
      <c r="AA102" s="10">
        <v>22.105263157894701</v>
      </c>
      <c r="AB102" s="10">
        <v>37.209302325581397</v>
      </c>
      <c r="AC102" s="10">
        <v>11.737072327692401</v>
      </c>
      <c r="AD102" s="10">
        <v>138</v>
      </c>
      <c r="AE102" s="10">
        <v>128</v>
      </c>
      <c r="AF102" s="93">
        <v>40</v>
      </c>
      <c r="AG102" s="10">
        <v>40</v>
      </c>
      <c r="AH102" s="10">
        <v>13.5</v>
      </c>
      <c r="AI102" s="10">
        <v>2</v>
      </c>
      <c r="AJ102" s="10">
        <v>0</v>
      </c>
      <c r="AK102" s="10">
        <v>5</v>
      </c>
      <c r="AL102" s="10">
        <v>14</v>
      </c>
      <c r="AM102" s="10">
        <v>9.1067949686286305</v>
      </c>
      <c r="AN102" s="87">
        <v>33.563937900588201</v>
      </c>
      <c r="AO102" s="87">
        <v>7.4052518931191003</v>
      </c>
      <c r="AP102" s="87">
        <v>36.213434452871098</v>
      </c>
      <c r="AQ102" s="7">
        <v>1</v>
      </c>
      <c r="AR102" s="7">
        <v>1</v>
      </c>
      <c r="AS102" s="10">
        <v>6</v>
      </c>
      <c r="AT102" s="10">
        <v>0</v>
      </c>
      <c r="AU102" s="7">
        <v>1</v>
      </c>
      <c r="AV102" s="10">
        <v>11</v>
      </c>
      <c r="AW102" s="10">
        <v>0</v>
      </c>
      <c r="AX102" s="10">
        <v>3</v>
      </c>
      <c r="AY102" s="10">
        <v>5</v>
      </c>
      <c r="AZ102" s="10">
        <v>3</v>
      </c>
      <c r="BA102" s="10">
        <v>0</v>
      </c>
      <c r="BC102" s="10">
        <v>321</v>
      </c>
      <c r="BD102" s="7">
        <v>7</v>
      </c>
      <c r="BE102" s="7">
        <v>10</v>
      </c>
      <c r="BF102" s="7">
        <v>5</v>
      </c>
      <c r="BG102" s="7">
        <v>2</v>
      </c>
      <c r="BH102" s="4">
        <v>6.5869726715654799</v>
      </c>
      <c r="BI102" s="8">
        <v>3</v>
      </c>
      <c r="BJ102" s="8">
        <v>3</v>
      </c>
      <c r="BK102" s="8">
        <v>1</v>
      </c>
      <c r="BL102" s="10" t="s">
        <v>208</v>
      </c>
      <c r="BM102" s="7">
        <v>6</v>
      </c>
      <c r="BN102" s="10"/>
      <c r="BO102" s="10">
        <v>5.7162403903696601</v>
      </c>
      <c r="BP102" s="10">
        <v>14.823619619898899</v>
      </c>
      <c r="BQ102" s="10">
        <v>43.712886759037403</v>
      </c>
      <c r="BR102" s="10">
        <v>64.048338368580104</v>
      </c>
      <c r="BS102" s="10">
        <v>26</v>
      </c>
      <c r="BT102" s="10">
        <v>23.210751119908299</v>
      </c>
      <c r="BU102" s="10">
        <v>33.752244165170602</v>
      </c>
      <c r="BV102" s="10">
        <v>46.723646723646702</v>
      </c>
      <c r="BW102" s="10">
        <v>10.508684921272</v>
      </c>
      <c r="BX102" s="10"/>
      <c r="BY102" s="10"/>
      <c r="BZ102" s="10"/>
      <c r="CA102" s="10"/>
      <c r="CB102" s="10"/>
      <c r="CC102" s="10"/>
      <c r="CD102" s="10"/>
      <c r="CE102" s="10"/>
      <c r="CF102" s="10">
        <v>35.919790758500397</v>
      </c>
      <c r="CG102" s="10">
        <v>83.173496076721904</v>
      </c>
      <c r="CH102" s="10">
        <v>3</v>
      </c>
      <c r="CI102" s="10">
        <v>23.365300784655599</v>
      </c>
      <c r="CJ102" s="10">
        <v>18.656716417910499</v>
      </c>
      <c r="CK102" s="10">
        <v>41.183162684869203</v>
      </c>
      <c r="CL102" s="10">
        <v>0</v>
      </c>
      <c r="CM102" s="10" t="s">
        <v>508</v>
      </c>
      <c r="CN102" s="10" t="s">
        <v>509</v>
      </c>
      <c r="CO102" s="10" t="s">
        <v>510</v>
      </c>
      <c r="CP102" s="10"/>
    </row>
    <row r="103" spans="1:94" s="6" customFormat="1">
      <c r="A103" s="9" t="s">
        <v>209</v>
      </c>
      <c r="B103" s="6" t="s">
        <v>41</v>
      </c>
      <c r="C103" s="6" t="s">
        <v>18</v>
      </c>
      <c r="D103" s="41">
        <f t="shared" si="5"/>
        <v>61</v>
      </c>
      <c r="E103" s="3">
        <v>44322</v>
      </c>
      <c r="F103" s="3">
        <v>44383</v>
      </c>
      <c r="G103" s="3"/>
      <c r="H103" s="6">
        <v>4</v>
      </c>
      <c r="I103" s="10">
        <v>12</v>
      </c>
      <c r="J103" s="10">
        <v>1</v>
      </c>
      <c r="K103" s="10">
        <v>0</v>
      </c>
      <c r="L103" s="10">
        <v>0</v>
      </c>
      <c r="M103" s="10">
        <v>0</v>
      </c>
      <c r="N103" s="87">
        <v>2.82070584937631</v>
      </c>
      <c r="O103" s="10">
        <v>0</v>
      </c>
      <c r="P103" s="10">
        <v>1</v>
      </c>
      <c r="Q103" s="10">
        <v>0</v>
      </c>
      <c r="R103" s="10"/>
      <c r="S103" s="10">
        <v>3</v>
      </c>
      <c r="T103" s="10">
        <v>1</v>
      </c>
      <c r="U103" s="87">
        <v>13.379723608524699</v>
      </c>
      <c r="V103" s="87">
        <v>0.849972763728707</v>
      </c>
      <c r="W103" s="10">
        <v>32.285714285714299</v>
      </c>
      <c r="X103" s="10">
        <v>90.285714285714306</v>
      </c>
      <c r="Y103" s="10">
        <v>1</v>
      </c>
      <c r="Z103" s="10">
        <v>66</v>
      </c>
      <c r="AA103" s="10">
        <v>41.991341991341997</v>
      </c>
      <c r="AB103" s="10">
        <v>1.40845070422535</v>
      </c>
      <c r="AC103" s="10">
        <v>5.9027473421677401</v>
      </c>
      <c r="AD103" s="10">
        <v>8</v>
      </c>
      <c r="AE103" s="10">
        <v>40</v>
      </c>
      <c r="AF103" s="10">
        <v>0</v>
      </c>
      <c r="AG103" s="10">
        <v>0</v>
      </c>
      <c r="AH103" s="10">
        <v>2</v>
      </c>
      <c r="AI103" s="10">
        <v>2</v>
      </c>
      <c r="AJ103" s="10">
        <v>1</v>
      </c>
      <c r="AK103" s="10">
        <v>0</v>
      </c>
      <c r="AL103" s="10">
        <v>0</v>
      </c>
      <c r="AM103" s="10">
        <v>0.335565209738235</v>
      </c>
      <c r="AN103" s="87">
        <v>27.348555668052001</v>
      </c>
      <c r="AO103" s="87">
        <v>3.9350574667546998</v>
      </c>
      <c r="AP103" s="87">
        <v>53.515625</v>
      </c>
      <c r="AQ103" s="7">
        <v>0</v>
      </c>
      <c r="AR103" s="7">
        <v>0</v>
      </c>
      <c r="AS103" s="10">
        <v>9</v>
      </c>
      <c r="AT103" s="10">
        <v>4</v>
      </c>
      <c r="AU103" s="7">
        <v>2</v>
      </c>
      <c r="AV103" s="10">
        <v>1</v>
      </c>
      <c r="AW103" s="10">
        <v>0</v>
      </c>
      <c r="AX103" s="10">
        <v>0</v>
      </c>
      <c r="AY103" s="10">
        <v>0</v>
      </c>
      <c r="AZ103" s="10">
        <v>1</v>
      </c>
      <c r="BA103" s="10">
        <v>0</v>
      </c>
      <c r="BC103" s="10">
        <v>6</v>
      </c>
      <c r="BD103" s="7">
        <v>0</v>
      </c>
      <c r="BE103" s="7">
        <v>0</v>
      </c>
      <c r="BF103" s="7">
        <v>0</v>
      </c>
      <c r="BG103" s="7">
        <v>1</v>
      </c>
      <c r="BH103" s="4">
        <v>19.510481604476901</v>
      </c>
      <c r="BI103" s="8">
        <v>2</v>
      </c>
      <c r="BJ103" s="8">
        <v>2</v>
      </c>
      <c r="BK103" s="8">
        <v>1</v>
      </c>
      <c r="BL103" s="10" t="s">
        <v>210</v>
      </c>
      <c r="BM103" s="7">
        <v>3</v>
      </c>
      <c r="BN103" s="10"/>
      <c r="BO103" s="10">
        <v>15.2337329782439</v>
      </c>
      <c r="BP103" s="10">
        <v>1.04214993967529</v>
      </c>
      <c r="BQ103" s="10">
        <v>2.1164021164021198</v>
      </c>
      <c r="BR103" s="10">
        <v>100</v>
      </c>
      <c r="BS103" s="10">
        <v>0</v>
      </c>
      <c r="BT103" s="10">
        <v>50.264550264550302</v>
      </c>
      <c r="BU103" s="10">
        <v>2.1052631578947398</v>
      </c>
      <c r="BV103" s="10">
        <v>2.12765957446809</v>
      </c>
      <c r="BW103" s="10">
        <v>7.2592615789532298</v>
      </c>
      <c r="BX103" s="10"/>
      <c r="BY103" s="10"/>
      <c r="BZ103" s="10"/>
      <c r="CA103" s="10"/>
      <c r="CB103" s="10"/>
      <c r="CC103" s="10"/>
      <c r="CD103" s="10"/>
      <c r="CE103" s="10"/>
      <c r="CF103" s="10" t="s">
        <v>25</v>
      </c>
      <c r="CG103" s="10" t="s">
        <v>25</v>
      </c>
      <c r="CH103" s="10" t="s">
        <v>25</v>
      </c>
      <c r="CI103" s="10" t="s">
        <v>25</v>
      </c>
      <c r="CJ103" s="10" t="s">
        <v>25</v>
      </c>
      <c r="CK103" s="10" t="s">
        <v>25</v>
      </c>
      <c r="CL103" s="10" t="s">
        <v>25</v>
      </c>
      <c r="CM103" s="10" t="s">
        <v>25</v>
      </c>
      <c r="CN103" s="10" t="s">
        <v>25</v>
      </c>
      <c r="CO103" s="10" t="s">
        <v>25</v>
      </c>
      <c r="CP103" s="10"/>
    </row>
    <row r="104" spans="1:94" s="6" customFormat="1">
      <c r="A104" s="9" t="s">
        <v>211</v>
      </c>
      <c r="B104" s="6" t="s">
        <v>17</v>
      </c>
      <c r="C104" s="6" t="s">
        <v>18</v>
      </c>
      <c r="D104" s="41">
        <f t="shared" si="5"/>
        <v>61</v>
      </c>
      <c r="E104" s="3">
        <v>44322</v>
      </c>
      <c r="F104" s="3">
        <v>44383</v>
      </c>
      <c r="G104" s="3"/>
      <c r="H104" s="6">
        <v>4</v>
      </c>
      <c r="I104" s="10">
        <v>10</v>
      </c>
      <c r="J104" s="10">
        <v>0</v>
      </c>
      <c r="K104" s="10">
        <v>0</v>
      </c>
      <c r="L104" s="10">
        <v>0</v>
      </c>
      <c r="M104" s="10">
        <v>0</v>
      </c>
      <c r="N104" s="87">
        <v>10.3669952404288</v>
      </c>
      <c r="O104" s="10">
        <v>0</v>
      </c>
      <c r="P104" s="10">
        <v>2</v>
      </c>
      <c r="Q104" s="10">
        <v>0</v>
      </c>
      <c r="R104" s="10"/>
      <c r="S104" s="10">
        <v>4</v>
      </c>
      <c r="T104" s="10">
        <v>1</v>
      </c>
      <c r="U104" s="87">
        <v>11.276925731454</v>
      </c>
      <c r="V104" s="87">
        <v>1.0581788882869201</v>
      </c>
      <c r="W104" s="10">
        <v>16.083916083916101</v>
      </c>
      <c r="X104" s="10">
        <v>92.307692307692307</v>
      </c>
      <c r="Y104" s="10">
        <v>0</v>
      </c>
      <c r="Z104" s="10">
        <v>37.762237762237802</v>
      </c>
      <c r="AA104" s="10">
        <v>5.5555555555555598</v>
      </c>
      <c r="AB104" s="10">
        <v>22.471910112359598</v>
      </c>
      <c r="AC104" s="10">
        <v>4.1318245149592698</v>
      </c>
      <c r="AD104" s="10">
        <v>2</v>
      </c>
      <c r="AE104" s="10">
        <v>34</v>
      </c>
      <c r="AF104" s="10">
        <v>0</v>
      </c>
      <c r="AG104" s="10">
        <v>0.5</v>
      </c>
      <c r="AH104" s="10">
        <v>1.5</v>
      </c>
      <c r="AI104" s="10">
        <v>1</v>
      </c>
      <c r="AJ104" s="10">
        <v>3</v>
      </c>
      <c r="AK104" s="10">
        <v>0</v>
      </c>
      <c r="AL104" s="10">
        <v>0</v>
      </c>
      <c r="AM104" s="10">
        <v>0.191433248878811</v>
      </c>
      <c r="AN104" s="87">
        <v>26.049321622402498</v>
      </c>
      <c r="AO104" s="87">
        <v>7.4631370636292598</v>
      </c>
      <c r="AP104" s="87">
        <v>31.168831168831201</v>
      </c>
      <c r="AQ104" s="7">
        <v>2</v>
      </c>
      <c r="AR104" s="7">
        <v>0</v>
      </c>
      <c r="AS104" s="10">
        <v>8</v>
      </c>
      <c r="AT104" s="10">
        <v>10</v>
      </c>
      <c r="AU104" s="7">
        <v>1</v>
      </c>
      <c r="AV104" s="10">
        <v>2</v>
      </c>
      <c r="AW104" s="10">
        <v>0</v>
      </c>
      <c r="AX104" s="10">
        <v>0</v>
      </c>
      <c r="AY104" s="10">
        <v>2</v>
      </c>
      <c r="AZ104" s="10">
        <v>0</v>
      </c>
      <c r="BA104" s="10">
        <v>0</v>
      </c>
      <c r="BC104" s="10">
        <v>70</v>
      </c>
      <c r="BD104" s="7">
        <v>4</v>
      </c>
      <c r="BE104" s="103">
        <v>4</v>
      </c>
      <c r="BF104" s="7">
        <v>0</v>
      </c>
      <c r="BG104" s="7">
        <v>2</v>
      </c>
      <c r="BH104" s="4">
        <v>7.80521518206473</v>
      </c>
      <c r="BI104" s="8">
        <v>0</v>
      </c>
      <c r="BJ104" s="8">
        <v>1</v>
      </c>
      <c r="BK104" s="8">
        <v>0</v>
      </c>
      <c r="BL104" s="10" t="s">
        <v>212</v>
      </c>
      <c r="BM104" s="7">
        <v>5</v>
      </c>
      <c r="BN104" s="10"/>
      <c r="BO104" s="10">
        <v>1.4488732885781099</v>
      </c>
      <c r="BP104" s="10">
        <v>3.84123766075647</v>
      </c>
      <c r="BQ104" s="10">
        <v>37.439143135345702</v>
      </c>
      <c r="BR104" s="10">
        <v>78.919182083739102</v>
      </c>
      <c r="BS104" s="10">
        <v>4</v>
      </c>
      <c r="BT104" s="10">
        <v>37.828627069133397</v>
      </c>
      <c r="BU104" s="10">
        <v>30.501930501930499</v>
      </c>
      <c r="BV104" s="10">
        <v>41.660140955364099</v>
      </c>
      <c r="BW104" s="10">
        <v>2.3697314349132799</v>
      </c>
      <c r="BX104" s="10"/>
      <c r="BY104" s="10"/>
      <c r="BZ104" s="10"/>
      <c r="CA104" s="10"/>
      <c r="CB104" s="10"/>
      <c r="CC104" s="10"/>
      <c r="CD104" s="10"/>
      <c r="CE104" s="10"/>
      <c r="CF104" s="10">
        <v>35.672997522708499</v>
      </c>
      <c r="CG104" s="10">
        <v>87.448389760528499</v>
      </c>
      <c r="CH104" s="10">
        <v>2</v>
      </c>
      <c r="CI104" s="10">
        <v>31.213872832369901</v>
      </c>
      <c r="CJ104" s="10">
        <v>25.396825396825399</v>
      </c>
      <c r="CK104" s="10">
        <v>40.336134453781497</v>
      </c>
      <c r="CL104" s="10" t="s">
        <v>511</v>
      </c>
      <c r="CM104" s="10" t="s">
        <v>512</v>
      </c>
      <c r="CN104" s="10" t="s">
        <v>513</v>
      </c>
      <c r="CO104" s="10" t="s">
        <v>514</v>
      </c>
      <c r="CP104" s="10"/>
    </row>
    <row r="105" spans="1:94" s="6" customFormat="1">
      <c r="A105" s="9" t="s">
        <v>213</v>
      </c>
      <c r="B105" s="6" t="s">
        <v>17</v>
      </c>
      <c r="C105" s="6" t="s">
        <v>18</v>
      </c>
      <c r="D105" s="2">
        <f t="shared" si="5"/>
        <v>55</v>
      </c>
      <c r="E105" s="3">
        <v>44294</v>
      </c>
      <c r="F105" s="3">
        <v>44349</v>
      </c>
      <c r="G105" s="106" t="s">
        <v>587</v>
      </c>
      <c r="H105" s="6">
        <v>5</v>
      </c>
      <c r="I105" s="10">
        <v>9</v>
      </c>
      <c r="J105" s="10">
        <v>1</v>
      </c>
      <c r="K105" s="10">
        <v>1</v>
      </c>
      <c r="L105" s="10">
        <v>0</v>
      </c>
      <c r="M105" s="10">
        <v>0</v>
      </c>
      <c r="N105" s="87">
        <v>12.8557670799241</v>
      </c>
      <c r="O105" s="10">
        <v>0</v>
      </c>
      <c r="P105" s="10">
        <v>1</v>
      </c>
      <c r="Q105" s="10">
        <v>0</v>
      </c>
      <c r="R105" s="10"/>
      <c r="S105" s="9">
        <v>4</v>
      </c>
      <c r="T105" s="10">
        <v>1</v>
      </c>
      <c r="U105" s="87">
        <v>7.4286466359233501</v>
      </c>
      <c r="V105" s="87">
        <v>1.11565500415855</v>
      </c>
      <c r="W105" s="10">
        <v>13.868613138686101</v>
      </c>
      <c r="X105" s="10">
        <v>91.240875912408796</v>
      </c>
      <c r="Y105" s="10">
        <v>1</v>
      </c>
      <c r="Z105" s="10">
        <v>41.240875912408796</v>
      </c>
      <c r="AA105" s="10">
        <v>8.8495575221238898</v>
      </c>
      <c r="AB105" s="10">
        <v>17.3913043478261</v>
      </c>
      <c r="AC105" s="10">
        <v>9.4332527125576799</v>
      </c>
      <c r="AD105" s="10">
        <v>142</v>
      </c>
      <c r="AE105" s="4">
        <v>155</v>
      </c>
      <c r="AF105" s="4">
        <v>1</v>
      </c>
      <c r="AG105" s="10">
        <v>1</v>
      </c>
      <c r="AH105" s="4">
        <v>34</v>
      </c>
      <c r="AI105" s="4">
        <v>3</v>
      </c>
      <c r="AJ105" s="10">
        <v>3</v>
      </c>
      <c r="AK105" s="10">
        <v>9</v>
      </c>
      <c r="AL105" s="10">
        <v>23</v>
      </c>
      <c r="AM105" s="10">
        <v>9.4861275185666791</v>
      </c>
      <c r="AN105" s="87">
        <v>44.617273644298599</v>
      </c>
      <c r="AO105" s="87">
        <v>6.6680353675707904</v>
      </c>
      <c r="AP105" s="87">
        <v>39.054085694216802</v>
      </c>
      <c r="AQ105" s="7">
        <v>0</v>
      </c>
      <c r="AR105" s="7">
        <v>0</v>
      </c>
      <c r="AS105" s="10">
        <v>7</v>
      </c>
      <c r="AT105" s="10">
        <v>0</v>
      </c>
      <c r="AU105" s="7">
        <v>1</v>
      </c>
      <c r="AV105" s="10">
        <v>17</v>
      </c>
      <c r="AW105" s="10">
        <v>4</v>
      </c>
      <c r="AX105" s="10">
        <v>2</v>
      </c>
      <c r="AY105" s="10">
        <v>2</v>
      </c>
      <c r="AZ105" s="10">
        <v>8</v>
      </c>
      <c r="BA105" s="10">
        <v>1</v>
      </c>
      <c r="BC105" s="9">
        <v>10</v>
      </c>
      <c r="BD105" s="10">
        <v>1</v>
      </c>
      <c r="BE105" s="10">
        <v>1</v>
      </c>
      <c r="BF105" s="10">
        <v>0</v>
      </c>
      <c r="BG105" s="10">
        <v>0</v>
      </c>
      <c r="BH105" s="4">
        <v>8.1573935144891401</v>
      </c>
      <c r="BI105" s="8">
        <v>0</v>
      </c>
      <c r="BJ105" s="8">
        <v>1</v>
      </c>
      <c r="BK105" s="8">
        <v>1</v>
      </c>
      <c r="BL105" s="10" t="s">
        <v>214</v>
      </c>
      <c r="BM105" s="7">
        <v>3</v>
      </c>
      <c r="BN105" s="10"/>
      <c r="BO105" s="10">
        <v>15.909182679173499</v>
      </c>
      <c r="BP105" s="10">
        <v>1.11615765694692</v>
      </c>
      <c r="BQ105" s="10">
        <v>22.670807453416199</v>
      </c>
      <c r="BR105" s="10">
        <v>81.366459627329206</v>
      </c>
      <c r="BS105" s="10">
        <v>0</v>
      </c>
      <c r="BT105" s="10">
        <v>51.242236024844701</v>
      </c>
      <c r="BU105" s="10">
        <v>26.060606060606101</v>
      </c>
      <c r="BV105" s="10">
        <v>19.1082802547771</v>
      </c>
      <c r="BW105" s="10">
        <v>10.5185604704703</v>
      </c>
      <c r="BX105" s="10"/>
      <c r="BY105" s="10"/>
      <c r="BZ105" s="10"/>
      <c r="CA105" s="10"/>
      <c r="CB105" s="10"/>
      <c r="CC105" s="10"/>
      <c r="CD105" s="10"/>
      <c r="CE105" s="10"/>
      <c r="CF105" s="10" t="s">
        <v>25</v>
      </c>
      <c r="CG105" s="10" t="s">
        <v>25</v>
      </c>
      <c r="CH105" s="10" t="s">
        <v>25</v>
      </c>
      <c r="CI105" s="10" t="s">
        <v>25</v>
      </c>
      <c r="CJ105" s="10" t="s">
        <v>25</v>
      </c>
      <c r="CK105" s="10" t="s">
        <v>25</v>
      </c>
      <c r="CL105" s="10" t="s">
        <v>25</v>
      </c>
      <c r="CM105" s="10" t="s">
        <v>25</v>
      </c>
      <c r="CN105" s="10" t="s">
        <v>25</v>
      </c>
      <c r="CO105" s="10" t="s">
        <v>25</v>
      </c>
      <c r="CP105" s="10"/>
    </row>
    <row r="106" spans="1:94" s="6" customFormat="1">
      <c r="A106" s="9" t="s">
        <v>215</v>
      </c>
      <c r="B106" s="6" t="s">
        <v>17</v>
      </c>
      <c r="C106" s="6" t="s">
        <v>18</v>
      </c>
      <c r="D106" s="2">
        <f t="shared" si="5"/>
        <v>55</v>
      </c>
      <c r="E106" s="3">
        <v>44294</v>
      </c>
      <c r="F106" s="3">
        <v>44349</v>
      </c>
      <c r="G106" s="106" t="s">
        <v>587</v>
      </c>
      <c r="H106" s="6">
        <v>5</v>
      </c>
      <c r="I106" s="10">
        <v>46</v>
      </c>
      <c r="J106" s="10">
        <v>1</v>
      </c>
      <c r="K106" s="10">
        <v>0</v>
      </c>
      <c r="L106" s="10">
        <v>0</v>
      </c>
      <c r="M106" s="10">
        <v>3</v>
      </c>
      <c r="N106" s="87">
        <v>6.0783150150243301</v>
      </c>
      <c r="O106" s="10">
        <v>0</v>
      </c>
      <c r="P106" s="10">
        <v>1</v>
      </c>
      <c r="Q106" s="10">
        <v>0</v>
      </c>
      <c r="R106" s="10"/>
      <c r="S106" s="10">
        <v>5</v>
      </c>
      <c r="T106" s="10">
        <v>4</v>
      </c>
      <c r="U106" s="87">
        <v>12.407816514240499</v>
      </c>
      <c r="V106" s="87">
        <v>4.1528782786466198</v>
      </c>
      <c r="W106" s="10">
        <v>25.9312320916905</v>
      </c>
      <c r="X106" s="10">
        <v>91.762177650429805</v>
      </c>
      <c r="Y106" s="10">
        <v>1</v>
      </c>
      <c r="Z106" s="10">
        <v>58.166189111747897</v>
      </c>
      <c r="AA106" s="10">
        <v>33.866995073891601</v>
      </c>
      <c r="AB106" s="10">
        <v>14.5869947275923</v>
      </c>
      <c r="AC106" s="10">
        <v>3.5223548088297698</v>
      </c>
      <c r="AD106" s="10">
        <v>25</v>
      </c>
      <c r="AE106" s="4">
        <v>74</v>
      </c>
      <c r="AF106" s="4">
        <v>1</v>
      </c>
      <c r="AG106" s="10">
        <v>0</v>
      </c>
      <c r="AH106" s="4">
        <v>9.5</v>
      </c>
      <c r="AI106" s="4">
        <v>2</v>
      </c>
      <c r="AJ106" s="4">
        <v>3</v>
      </c>
      <c r="AK106" s="10">
        <v>3</v>
      </c>
      <c r="AL106" s="4">
        <v>1</v>
      </c>
      <c r="AM106" s="10">
        <v>1.47825413437635</v>
      </c>
      <c r="AN106" s="87">
        <v>41.224985602146504</v>
      </c>
      <c r="AO106" s="87">
        <v>6.1725497157632496</v>
      </c>
      <c r="AP106" s="87">
        <v>39.360222531293502</v>
      </c>
      <c r="AQ106" s="7">
        <v>0</v>
      </c>
      <c r="AR106" s="7">
        <v>0</v>
      </c>
      <c r="AS106" s="10">
        <v>8</v>
      </c>
      <c r="AT106" s="10">
        <v>0</v>
      </c>
      <c r="AU106" s="7">
        <v>3</v>
      </c>
      <c r="AV106" s="10">
        <v>3</v>
      </c>
      <c r="AW106" s="10">
        <v>0</v>
      </c>
      <c r="AX106" s="10">
        <v>0</v>
      </c>
      <c r="AY106" s="10">
        <v>1</v>
      </c>
      <c r="AZ106" s="10">
        <v>2</v>
      </c>
      <c r="BA106" s="10">
        <v>0</v>
      </c>
      <c r="BC106" s="10">
        <v>244</v>
      </c>
      <c r="BD106" s="10">
        <v>7</v>
      </c>
      <c r="BE106" s="10">
        <v>3</v>
      </c>
      <c r="BF106" s="10">
        <v>0</v>
      </c>
      <c r="BG106" s="10">
        <v>7</v>
      </c>
      <c r="BH106" s="4">
        <v>5.7024087550856999</v>
      </c>
      <c r="BI106" s="8">
        <v>3</v>
      </c>
      <c r="BJ106" s="8">
        <v>3</v>
      </c>
      <c r="BK106" s="8">
        <v>1</v>
      </c>
      <c r="BL106" s="10" t="s">
        <v>216</v>
      </c>
      <c r="BM106" s="7">
        <v>3</v>
      </c>
      <c r="BN106" s="10"/>
      <c r="BO106" s="10">
        <v>11.4715043041112</v>
      </c>
      <c r="BP106" s="10">
        <v>9.1920042504726691</v>
      </c>
      <c r="BQ106" s="10">
        <v>56.877221766475301</v>
      </c>
      <c r="BR106" s="10">
        <v>67.787804211101999</v>
      </c>
      <c r="BS106" s="10">
        <v>14</v>
      </c>
      <c r="BT106" s="10">
        <v>48.167897183483703</v>
      </c>
      <c r="BU106" s="10">
        <v>59.1541300028385</v>
      </c>
      <c r="BV106" s="10">
        <v>54.7612767079926</v>
      </c>
      <c r="BW106" s="10">
        <v>2.7988829698008</v>
      </c>
      <c r="BX106" s="10"/>
      <c r="BY106" s="10"/>
      <c r="BZ106" s="10"/>
      <c r="CA106" s="10"/>
      <c r="CB106" s="10"/>
      <c r="CC106" s="10"/>
      <c r="CD106" s="10"/>
      <c r="CE106" s="10"/>
      <c r="CF106" s="10">
        <v>59.853633037114498</v>
      </c>
      <c r="CG106" s="10">
        <v>94.929430214323105</v>
      </c>
      <c r="CH106" s="10">
        <v>1</v>
      </c>
      <c r="CI106" s="10">
        <v>73.4448510193413</v>
      </c>
      <c r="CJ106" s="10">
        <v>69.608540925266894</v>
      </c>
      <c r="CK106" s="10">
        <v>32.874015748031503</v>
      </c>
      <c r="CL106" s="10" t="s">
        <v>515</v>
      </c>
      <c r="CM106" s="10" t="s">
        <v>516</v>
      </c>
      <c r="CN106" s="10" t="s">
        <v>517</v>
      </c>
      <c r="CO106" s="10" t="s">
        <v>518</v>
      </c>
      <c r="CP106" s="10"/>
    </row>
    <row r="107" spans="1:94" s="6" customFormat="1">
      <c r="A107" s="9" t="s">
        <v>217</v>
      </c>
      <c r="B107" s="6" t="s">
        <v>17</v>
      </c>
      <c r="C107" s="6" t="s">
        <v>18</v>
      </c>
      <c r="D107" s="2">
        <f t="shared" si="5"/>
        <v>55</v>
      </c>
      <c r="E107" s="3">
        <v>44294</v>
      </c>
      <c r="F107" s="3">
        <v>44349</v>
      </c>
      <c r="G107" s="106" t="s">
        <v>587</v>
      </c>
      <c r="H107" s="6">
        <v>5</v>
      </c>
      <c r="I107" s="10">
        <v>4</v>
      </c>
      <c r="J107" s="10">
        <v>0</v>
      </c>
      <c r="K107" s="10">
        <v>0</v>
      </c>
      <c r="L107" s="10">
        <v>0</v>
      </c>
      <c r="M107" s="10">
        <v>0</v>
      </c>
      <c r="N107" s="87">
        <v>12.4556496515261</v>
      </c>
      <c r="O107" s="10">
        <v>0</v>
      </c>
      <c r="P107" s="10">
        <v>1</v>
      </c>
      <c r="Q107" s="10">
        <v>0</v>
      </c>
      <c r="R107" s="10"/>
      <c r="S107" s="10">
        <v>4</v>
      </c>
      <c r="T107" s="10">
        <v>0</v>
      </c>
      <c r="U107" s="87">
        <v>7.2918945784030598</v>
      </c>
      <c r="V107" s="87">
        <v>0.38668434096670301</v>
      </c>
      <c r="W107" s="10">
        <v>23.9669421487603</v>
      </c>
      <c r="X107" s="10">
        <v>100</v>
      </c>
      <c r="Y107" s="10">
        <v>0</v>
      </c>
      <c r="Z107" s="10">
        <v>28.099173553719002</v>
      </c>
      <c r="AA107" s="10">
        <v>11.764705882352899</v>
      </c>
      <c r="AB107" s="10">
        <v>28.735632183907999</v>
      </c>
      <c r="AC107" s="10">
        <v>3.99397513645722</v>
      </c>
      <c r="AD107" s="10">
        <v>7</v>
      </c>
      <c r="AE107" s="4">
        <v>17</v>
      </c>
      <c r="AF107" s="4">
        <v>1</v>
      </c>
      <c r="AG107" s="10">
        <v>1</v>
      </c>
      <c r="AH107" s="4">
        <v>4</v>
      </c>
      <c r="AI107" s="4">
        <v>2</v>
      </c>
      <c r="AJ107" s="10">
        <v>2</v>
      </c>
      <c r="AK107" s="10">
        <v>0</v>
      </c>
      <c r="AL107" s="10">
        <v>0</v>
      </c>
      <c r="AM107" s="10">
        <v>0.27098809426773202</v>
      </c>
      <c r="AN107" s="87">
        <v>37.645246016615999</v>
      </c>
      <c r="AO107" s="87">
        <v>4.3043491227895503</v>
      </c>
      <c r="AP107" s="87">
        <v>74.603174603174594</v>
      </c>
      <c r="AQ107" s="7">
        <v>0</v>
      </c>
      <c r="AR107" s="7">
        <v>0</v>
      </c>
      <c r="AS107" s="10">
        <v>9</v>
      </c>
      <c r="AT107" s="10">
        <v>2</v>
      </c>
      <c r="AU107" s="7">
        <v>1</v>
      </c>
      <c r="AV107" s="10">
        <v>2</v>
      </c>
      <c r="AW107" s="10">
        <v>0</v>
      </c>
      <c r="AX107" s="10">
        <v>0</v>
      </c>
      <c r="AY107" s="10">
        <v>0</v>
      </c>
      <c r="AZ107" s="10">
        <v>2</v>
      </c>
      <c r="BA107" s="10">
        <v>0</v>
      </c>
      <c r="BC107" s="10">
        <v>8</v>
      </c>
      <c r="BD107" s="10">
        <v>1</v>
      </c>
      <c r="BE107" s="10">
        <v>1</v>
      </c>
      <c r="BF107" s="10">
        <v>0</v>
      </c>
      <c r="BG107" s="10">
        <v>0</v>
      </c>
      <c r="BH107" s="4">
        <v>10.4142268501357</v>
      </c>
      <c r="BI107" s="8">
        <v>0</v>
      </c>
      <c r="BJ107" s="8">
        <v>1</v>
      </c>
      <c r="BK107" s="8">
        <v>1</v>
      </c>
      <c r="BL107" s="10" t="s">
        <v>218</v>
      </c>
      <c r="BM107" s="7">
        <v>3</v>
      </c>
      <c r="BN107" s="10"/>
      <c r="BO107" s="10">
        <v>13.6899296901053</v>
      </c>
      <c r="BP107" s="10">
        <v>1.070111938301</v>
      </c>
      <c r="BQ107" s="10">
        <v>18.3150183150183</v>
      </c>
      <c r="BR107" s="10">
        <v>93.040293040292994</v>
      </c>
      <c r="BS107" s="10">
        <v>0</v>
      </c>
      <c r="BT107" s="10">
        <v>59.3406593406593</v>
      </c>
      <c r="BU107" s="10">
        <v>26.543209876543202</v>
      </c>
      <c r="BV107" s="10">
        <v>6.3063063063063103</v>
      </c>
      <c r="BW107" s="10">
        <v>10.676888749786899</v>
      </c>
      <c r="BX107" s="10"/>
      <c r="BY107" s="10"/>
      <c r="BZ107" s="10"/>
      <c r="CA107" s="10"/>
      <c r="CB107" s="10"/>
      <c r="CC107" s="10"/>
      <c r="CD107" s="10"/>
      <c r="CE107" s="10"/>
      <c r="CF107" s="10" t="s">
        <v>25</v>
      </c>
      <c r="CG107" s="10" t="s">
        <v>25</v>
      </c>
      <c r="CH107" s="10" t="s">
        <v>25</v>
      </c>
      <c r="CI107" s="10" t="s">
        <v>25</v>
      </c>
      <c r="CJ107" s="10" t="s">
        <v>25</v>
      </c>
      <c r="CK107" s="10" t="s">
        <v>25</v>
      </c>
      <c r="CL107" s="10" t="s">
        <v>25</v>
      </c>
      <c r="CM107" s="10" t="s">
        <v>25</v>
      </c>
      <c r="CN107" s="10" t="s">
        <v>25</v>
      </c>
      <c r="CO107" s="10" t="s">
        <v>25</v>
      </c>
      <c r="CP107" s="10"/>
    </row>
    <row r="108" spans="1:94" s="6" customFormat="1">
      <c r="A108" s="9" t="s">
        <v>219</v>
      </c>
      <c r="B108" s="6" t="s">
        <v>17</v>
      </c>
      <c r="C108" s="6" t="s">
        <v>18</v>
      </c>
      <c r="D108" s="2">
        <f t="shared" si="5"/>
        <v>55</v>
      </c>
      <c r="E108" s="3">
        <v>44294</v>
      </c>
      <c r="F108" s="3">
        <v>44349</v>
      </c>
      <c r="G108" s="106" t="s">
        <v>587</v>
      </c>
      <c r="H108" s="6">
        <v>5</v>
      </c>
      <c r="I108" s="10">
        <v>20</v>
      </c>
      <c r="J108" s="10">
        <v>1</v>
      </c>
      <c r="K108" s="10">
        <v>0</v>
      </c>
      <c r="L108" s="10">
        <v>0</v>
      </c>
      <c r="M108" s="10">
        <v>1</v>
      </c>
      <c r="N108" s="87">
        <v>4.2072356111425497</v>
      </c>
      <c r="O108" s="10">
        <v>0</v>
      </c>
      <c r="P108" s="10">
        <v>1</v>
      </c>
      <c r="Q108" s="10">
        <v>0</v>
      </c>
      <c r="R108" s="10"/>
      <c r="S108" s="10">
        <v>3</v>
      </c>
      <c r="T108" s="10">
        <v>2</v>
      </c>
      <c r="U108" s="87">
        <v>6.97338660687927</v>
      </c>
      <c r="V108" s="87">
        <v>1.7934549011646901</v>
      </c>
      <c r="W108" s="10">
        <v>18.2741116751269</v>
      </c>
      <c r="X108" s="10">
        <v>95.9390862944162</v>
      </c>
      <c r="Y108" s="10">
        <v>1</v>
      </c>
      <c r="Z108" s="10">
        <v>55.837563451776703</v>
      </c>
      <c r="AA108" s="10">
        <v>23.030303030302999</v>
      </c>
      <c r="AB108" s="10">
        <v>12.2605363984674</v>
      </c>
      <c r="AC108" s="10">
        <v>1.9013243565299101</v>
      </c>
      <c r="AD108" s="10">
        <v>29</v>
      </c>
      <c r="AE108" s="4">
        <v>54</v>
      </c>
      <c r="AF108" s="4">
        <v>1</v>
      </c>
      <c r="AG108" s="10">
        <v>1</v>
      </c>
      <c r="AH108" s="4">
        <v>20</v>
      </c>
      <c r="AI108" s="4">
        <v>3</v>
      </c>
      <c r="AJ108" s="10">
        <v>1</v>
      </c>
      <c r="AK108" s="10">
        <v>0</v>
      </c>
      <c r="AL108" s="10">
        <v>0</v>
      </c>
      <c r="AM108" s="10">
        <v>1.81927296283578</v>
      </c>
      <c r="AN108" s="87">
        <v>41.1968312275107</v>
      </c>
      <c r="AO108" s="87">
        <v>6.2920964935755199</v>
      </c>
      <c r="AP108" s="87">
        <v>35.023041474654399</v>
      </c>
      <c r="AQ108" s="91">
        <v>0</v>
      </c>
      <c r="AR108" s="91">
        <v>0</v>
      </c>
      <c r="AS108" s="10">
        <v>8</v>
      </c>
      <c r="AT108" s="10">
        <v>5</v>
      </c>
      <c r="AU108" s="7">
        <v>1</v>
      </c>
      <c r="AV108" s="10">
        <v>6</v>
      </c>
      <c r="AW108" s="10">
        <v>0</v>
      </c>
      <c r="AX108" s="10">
        <v>0</v>
      </c>
      <c r="AY108" s="10">
        <v>1</v>
      </c>
      <c r="AZ108" s="10">
        <v>4</v>
      </c>
      <c r="BA108" s="10">
        <v>1</v>
      </c>
      <c r="BC108" s="10">
        <v>112</v>
      </c>
      <c r="BD108" s="10">
        <v>5</v>
      </c>
      <c r="BE108" s="10">
        <v>7</v>
      </c>
      <c r="BF108" s="10">
        <v>1</v>
      </c>
      <c r="BG108" s="10">
        <v>2</v>
      </c>
      <c r="BH108" s="4">
        <v>6.9069411644016698</v>
      </c>
      <c r="BI108" s="8">
        <v>0</v>
      </c>
      <c r="BJ108" s="8">
        <v>1</v>
      </c>
      <c r="BK108" s="8">
        <v>1</v>
      </c>
      <c r="BL108" s="10" t="s">
        <v>220</v>
      </c>
      <c r="BM108" s="7">
        <v>3</v>
      </c>
      <c r="BN108" s="10"/>
      <c r="BO108" s="10">
        <v>10.0499455338832</v>
      </c>
      <c r="BP108" s="10">
        <v>7.4352993117517201</v>
      </c>
      <c r="BQ108" s="10">
        <v>31.177347242921002</v>
      </c>
      <c r="BR108" s="10">
        <v>61.967213114754102</v>
      </c>
      <c r="BS108" s="10">
        <v>15</v>
      </c>
      <c r="BT108" s="10">
        <v>32.965722801788402</v>
      </c>
      <c r="BU108" s="10">
        <v>18.625678119349001</v>
      </c>
      <c r="BV108" s="10">
        <v>37.349933303690499</v>
      </c>
      <c r="BW108" s="10">
        <v>3.8759603909901501</v>
      </c>
      <c r="BX108" s="10"/>
      <c r="BY108" s="10"/>
      <c r="BZ108" s="10"/>
      <c r="CA108" s="10"/>
      <c r="CB108" s="10"/>
      <c r="CC108" s="10"/>
      <c r="CD108" s="10"/>
      <c r="CE108" s="10"/>
      <c r="CF108" s="10">
        <v>25.663716814159301</v>
      </c>
      <c r="CG108" s="10">
        <v>82.190265486725707</v>
      </c>
      <c r="CH108" s="10">
        <v>3</v>
      </c>
      <c r="CI108" s="10">
        <v>32.853982300885001</v>
      </c>
      <c r="CJ108" s="10">
        <v>23.569023569023599</v>
      </c>
      <c r="CK108" s="10">
        <v>26.6886326194399</v>
      </c>
      <c r="CL108" s="10" t="s">
        <v>519</v>
      </c>
      <c r="CM108" s="10" t="s">
        <v>520</v>
      </c>
      <c r="CN108" s="10" t="s">
        <v>521</v>
      </c>
      <c r="CO108" s="10" t="s">
        <v>522</v>
      </c>
      <c r="CP108" s="10"/>
    </row>
    <row r="109" spans="1:94" s="6" customFormat="1">
      <c r="A109" s="9" t="s">
        <v>221</v>
      </c>
      <c r="B109" s="6" t="s">
        <v>17</v>
      </c>
      <c r="C109" s="6" t="s">
        <v>18</v>
      </c>
      <c r="D109" s="2">
        <f t="shared" si="5"/>
        <v>55</v>
      </c>
      <c r="E109" s="3">
        <v>44294</v>
      </c>
      <c r="F109" s="3">
        <v>44349</v>
      </c>
      <c r="G109" s="106" t="s">
        <v>587</v>
      </c>
      <c r="H109" s="6">
        <v>5</v>
      </c>
      <c r="I109" s="10">
        <v>4</v>
      </c>
      <c r="J109" s="10">
        <v>0</v>
      </c>
      <c r="K109" s="10">
        <v>0</v>
      </c>
      <c r="L109" s="10">
        <v>0</v>
      </c>
      <c r="M109" s="10">
        <v>0</v>
      </c>
      <c r="N109" s="87">
        <v>8.9621768038146499</v>
      </c>
      <c r="O109" s="10">
        <v>0</v>
      </c>
      <c r="P109" s="10">
        <v>1</v>
      </c>
      <c r="Q109" s="10">
        <v>1</v>
      </c>
      <c r="R109" s="10"/>
      <c r="S109" s="10">
        <v>4</v>
      </c>
      <c r="T109" s="10">
        <v>0</v>
      </c>
      <c r="U109" s="87">
        <v>7.82074182560536</v>
      </c>
      <c r="V109" s="87">
        <v>0.295280068505962</v>
      </c>
      <c r="W109" s="10">
        <v>9.0909090909090899</v>
      </c>
      <c r="X109" s="10">
        <v>81.818181818181799</v>
      </c>
      <c r="Y109" s="10">
        <v>0</v>
      </c>
      <c r="Z109" s="10">
        <v>81.818181818181799</v>
      </c>
      <c r="AA109" s="10">
        <v>11.1111111111111</v>
      </c>
      <c r="AB109" s="10">
        <v>0</v>
      </c>
      <c r="AC109" s="10">
        <v>11.6948696799857</v>
      </c>
      <c r="AD109" s="10">
        <v>1</v>
      </c>
      <c r="AE109" s="4">
        <v>40</v>
      </c>
      <c r="AF109" s="4">
        <v>0</v>
      </c>
      <c r="AG109" s="10">
        <v>0</v>
      </c>
      <c r="AH109" s="4">
        <v>0.5</v>
      </c>
      <c r="AI109" s="4">
        <v>1</v>
      </c>
      <c r="AJ109" s="10">
        <v>1</v>
      </c>
      <c r="AK109" s="10">
        <v>0</v>
      </c>
      <c r="AL109" s="10">
        <v>0</v>
      </c>
      <c r="AM109" s="10">
        <v>2.3654770214465898E-2</v>
      </c>
      <c r="AN109" s="87">
        <v>10.723214765879</v>
      </c>
      <c r="AO109" s="87">
        <v>7.11461267311401</v>
      </c>
      <c r="AP109" s="87">
        <v>10</v>
      </c>
      <c r="AQ109" s="7">
        <v>1</v>
      </c>
      <c r="AR109" s="7">
        <v>2</v>
      </c>
      <c r="AS109" s="10">
        <v>5</v>
      </c>
      <c r="AT109" s="10">
        <v>0</v>
      </c>
      <c r="AU109" s="7">
        <v>1</v>
      </c>
      <c r="AV109" s="10">
        <v>1</v>
      </c>
      <c r="AW109" s="10">
        <v>0</v>
      </c>
      <c r="AX109" s="10">
        <v>1</v>
      </c>
      <c r="AY109" s="10">
        <v>0</v>
      </c>
      <c r="AZ109" s="10">
        <v>0</v>
      </c>
      <c r="BA109" s="10">
        <v>0</v>
      </c>
      <c r="BC109" s="10">
        <v>6</v>
      </c>
      <c r="BD109" s="10">
        <v>1</v>
      </c>
      <c r="BE109" s="10">
        <v>1</v>
      </c>
      <c r="BF109" s="10">
        <v>0</v>
      </c>
      <c r="BG109" s="10">
        <v>0</v>
      </c>
      <c r="BH109" s="4">
        <v>11.3052764205567</v>
      </c>
      <c r="BI109" s="8">
        <v>1</v>
      </c>
      <c r="BJ109" s="8">
        <v>2</v>
      </c>
      <c r="BK109" s="8">
        <v>1</v>
      </c>
      <c r="BL109" s="10" t="s">
        <v>222</v>
      </c>
      <c r="BM109" s="7">
        <v>3</v>
      </c>
      <c r="BN109" s="10"/>
      <c r="BO109" s="10">
        <v>18.954152977448</v>
      </c>
      <c r="BP109" s="10">
        <v>1.1459645979006401</v>
      </c>
      <c r="BQ109" s="10">
        <v>6.1611374407582904</v>
      </c>
      <c r="BR109" s="10">
        <v>100</v>
      </c>
      <c r="BS109" s="10">
        <v>0</v>
      </c>
      <c r="BT109" s="10">
        <v>59.241706161137401</v>
      </c>
      <c r="BU109" s="10">
        <v>10.4</v>
      </c>
      <c r="BV109" s="10">
        <v>0</v>
      </c>
      <c r="BW109" s="10">
        <v>5.7618369182420999</v>
      </c>
      <c r="BX109" s="10"/>
      <c r="BY109" s="10"/>
      <c r="BZ109" s="10"/>
      <c r="CA109" s="10"/>
      <c r="CB109" s="10"/>
      <c r="CC109" s="10"/>
      <c r="CD109" s="10"/>
      <c r="CE109" s="10"/>
      <c r="CF109" s="10" t="s">
        <v>25</v>
      </c>
      <c r="CG109" s="10" t="s">
        <v>25</v>
      </c>
      <c r="CH109" s="10" t="s">
        <v>25</v>
      </c>
      <c r="CI109" s="10" t="s">
        <v>25</v>
      </c>
      <c r="CJ109" s="10" t="s">
        <v>25</v>
      </c>
      <c r="CK109" s="10" t="s">
        <v>25</v>
      </c>
      <c r="CL109" s="10" t="s">
        <v>25</v>
      </c>
      <c r="CM109" s="10" t="s">
        <v>25</v>
      </c>
      <c r="CN109" s="10" t="s">
        <v>25</v>
      </c>
      <c r="CO109" s="10" t="s">
        <v>25</v>
      </c>
      <c r="CP109" s="10"/>
    </row>
    <row r="110" spans="1:94" s="6" customFormat="1">
      <c r="A110" s="9" t="s">
        <v>223</v>
      </c>
      <c r="B110" s="6" t="s">
        <v>41</v>
      </c>
      <c r="C110" s="6" t="s">
        <v>18</v>
      </c>
      <c r="D110" s="2">
        <f t="shared" si="5"/>
        <v>55</v>
      </c>
      <c r="E110" s="3">
        <v>44294</v>
      </c>
      <c r="F110" s="3">
        <v>44349</v>
      </c>
      <c r="G110" s="106" t="s">
        <v>587</v>
      </c>
      <c r="H110" s="6">
        <v>5</v>
      </c>
      <c r="I110" s="10">
        <v>11</v>
      </c>
      <c r="J110" s="10">
        <v>0</v>
      </c>
      <c r="K110" s="10">
        <v>0</v>
      </c>
      <c r="L110" s="10">
        <v>0</v>
      </c>
      <c r="M110" s="10">
        <v>0</v>
      </c>
      <c r="N110" s="87">
        <v>16.898883060914901</v>
      </c>
      <c r="O110" s="10">
        <v>0</v>
      </c>
      <c r="P110" s="10">
        <v>1</v>
      </c>
      <c r="Q110" s="10">
        <v>0</v>
      </c>
      <c r="R110" s="10"/>
      <c r="S110" s="10">
        <v>11</v>
      </c>
      <c r="T110" s="10">
        <v>0</v>
      </c>
      <c r="U110" s="87">
        <v>6.2416891235370997</v>
      </c>
      <c r="V110" s="87">
        <v>1.14699609803252</v>
      </c>
      <c r="W110" s="10">
        <v>12.540192926045</v>
      </c>
      <c r="X110" s="10">
        <v>82.958199356913198</v>
      </c>
      <c r="Y110" s="10">
        <v>1</v>
      </c>
      <c r="Z110" s="10">
        <v>41.800643086816699</v>
      </c>
      <c r="AA110" s="10">
        <v>14.615384615384601</v>
      </c>
      <c r="AB110" s="10">
        <v>11.049723756906101</v>
      </c>
      <c r="AC110" s="10">
        <v>5.4634131769699197</v>
      </c>
      <c r="AD110" s="10">
        <v>4</v>
      </c>
      <c r="AE110" s="10">
        <v>24</v>
      </c>
      <c r="AF110" s="10">
        <v>2</v>
      </c>
      <c r="AG110" s="10">
        <v>2</v>
      </c>
      <c r="AH110" s="10">
        <v>1</v>
      </c>
      <c r="AI110" s="10">
        <v>1</v>
      </c>
      <c r="AJ110" s="10">
        <v>2</v>
      </c>
      <c r="AK110" s="10">
        <v>0</v>
      </c>
      <c r="AL110" s="10">
        <v>0</v>
      </c>
      <c r="AM110" s="10">
        <v>0.12784442171646301</v>
      </c>
      <c r="AN110" s="87">
        <v>13.851293036497999</v>
      </c>
      <c r="AO110" s="87">
        <v>3.5212246838504702</v>
      </c>
      <c r="AP110" s="87">
        <v>45.871559633027502</v>
      </c>
      <c r="AQ110" s="91">
        <v>0</v>
      </c>
      <c r="AR110" s="91">
        <v>0</v>
      </c>
      <c r="AS110" s="104">
        <v>13</v>
      </c>
      <c r="AT110" s="10">
        <v>3</v>
      </c>
      <c r="AU110" s="7">
        <v>1</v>
      </c>
      <c r="AV110" s="10">
        <v>1</v>
      </c>
      <c r="AW110" s="10">
        <v>0</v>
      </c>
      <c r="AX110" s="10">
        <v>0</v>
      </c>
      <c r="AY110" s="10">
        <v>1</v>
      </c>
      <c r="AZ110" s="10">
        <v>0</v>
      </c>
      <c r="BA110" s="10">
        <v>0</v>
      </c>
      <c r="BC110" s="10">
        <v>4</v>
      </c>
      <c r="BD110" s="5">
        <v>0</v>
      </c>
      <c r="BE110" s="7">
        <v>0</v>
      </c>
      <c r="BF110" s="7">
        <v>0</v>
      </c>
      <c r="BG110" s="7">
        <v>0</v>
      </c>
      <c r="BH110" s="4">
        <v>10.7672832834073</v>
      </c>
      <c r="BI110" s="8">
        <v>1</v>
      </c>
      <c r="BJ110" s="8">
        <v>1</v>
      </c>
      <c r="BK110" s="8">
        <v>1</v>
      </c>
      <c r="BL110" s="10" t="s">
        <v>224</v>
      </c>
      <c r="BM110" s="7">
        <v>4</v>
      </c>
      <c r="BN110" s="10"/>
      <c r="BO110" s="10">
        <v>5.8635603798361799</v>
      </c>
      <c r="BP110" s="10">
        <v>0.33907690391714201</v>
      </c>
      <c r="BQ110" s="10">
        <v>28</v>
      </c>
      <c r="BR110" s="10">
        <v>100</v>
      </c>
      <c r="BS110" s="10">
        <v>0</v>
      </c>
      <c r="BT110" s="10">
        <v>44</v>
      </c>
      <c r="BU110" s="10">
        <v>21.818181818181799</v>
      </c>
      <c r="BV110" s="10">
        <v>32.857142857142897</v>
      </c>
      <c r="BW110" s="10">
        <v>14.975002521560601</v>
      </c>
      <c r="BX110" s="10"/>
      <c r="BY110" s="10"/>
      <c r="BZ110" s="10"/>
      <c r="CA110" s="10"/>
      <c r="CB110" s="10"/>
      <c r="CC110" s="10"/>
      <c r="CD110" s="10"/>
      <c r="CE110" s="10"/>
      <c r="CF110" s="10" t="s">
        <v>25</v>
      </c>
      <c r="CG110" s="10" t="s">
        <v>25</v>
      </c>
      <c r="CH110" s="10" t="s">
        <v>25</v>
      </c>
      <c r="CI110" s="10" t="s">
        <v>25</v>
      </c>
      <c r="CJ110" s="10" t="s">
        <v>25</v>
      </c>
      <c r="CK110" s="10" t="s">
        <v>25</v>
      </c>
      <c r="CL110" s="10" t="s">
        <v>25</v>
      </c>
      <c r="CM110" s="10" t="s">
        <v>25</v>
      </c>
      <c r="CN110" s="10" t="s">
        <v>25</v>
      </c>
      <c r="CO110" s="10" t="s">
        <v>25</v>
      </c>
      <c r="CP110" s="10"/>
    </row>
    <row r="111" spans="1:94" s="6" customFormat="1">
      <c r="A111" s="9" t="s">
        <v>225</v>
      </c>
      <c r="B111" s="6" t="s">
        <v>41</v>
      </c>
      <c r="C111" s="6" t="s">
        <v>18</v>
      </c>
      <c r="D111" s="2">
        <f t="shared" si="5"/>
        <v>55</v>
      </c>
      <c r="E111" s="3">
        <v>44294</v>
      </c>
      <c r="F111" s="3">
        <v>44349</v>
      </c>
      <c r="G111" s="106" t="s">
        <v>587</v>
      </c>
      <c r="H111" s="6">
        <v>5</v>
      </c>
      <c r="I111" s="10">
        <v>5</v>
      </c>
      <c r="J111" s="10">
        <v>0</v>
      </c>
      <c r="K111" s="10">
        <v>0</v>
      </c>
      <c r="L111" s="10">
        <v>0</v>
      </c>
      <c r="M111" s="10">
        <v>0</v>
      </c>
      <c r="N111" s="87">
        <v>1.6061653904586299</v>
      </c>
      <c r="O111" s="10">
        <v>0</v>
      </c>
      <c r="P111" s="10">
        <v>1</v>
      </c>
      <c r="Q111" s="10">
        <v>0</v>
      </c>
      <c r="R111" s="10"/>
      <c r="S111" s="10">
        <v>5</v>
      </c>
      <c r="T111" s="10">
        <v>0</v>
      </c>
      <c r="U111" s="87">
        <v>8.3545933396095204</v>
      </c>
      <c r="V111" s="87">
        <v>0.39084247183000598</v>
      </c>
      <c r="W111" s="10">
        <v>35.602094240837701</v>
      </c>
      <c r="X111" s="10">
        <v>100</v>
      </c>
      <c r="Y111" s="10">
        <v>0</v>
      </c>
      <c r="Z111" s="10">
        <v>49.738219895287997</v>
      </c>
      <c r="AA111" s="10">
        <v>47.368421052631597</v>
      </c>
      <c r="AB111" s="10">
        <v>23.9583333333333</v>
      </c>
      <c r="AC111" s="10">
        <v>2.8032115873946601</v>
      </c>
      <c r="AD111" s="10">
        <v>35</v>
      </c>
      <c r="AE111" s="10">
        <v>45</v>
      </c>
      <c r="AF111" s="10">
        <v>1</v>
      </c>
      <c r="AG111" s="10">
        <v>3</v>
      </c>
      <c r="AH111" s="10">
        <v>28</v>
      </c>
      <c r="AI111" s="10">
        <v>3</v>
      </c>
      <c r="AJ111" s="10">
        <v>2</v>
      </c>
      <c r="AK111" s="10">
        <v>0</v>
      </c>
      <c r="AL111" s="10">
        <v>0</v>
      </c>
      <c r="AM111" s="10">
        <v>0.856298084940051</v>
      </c>
      <c r="AN111" s="87">
        <v>29.4030515051112</v>
      </c>
      <c r="AO111" s="87">
        <v>2.59397092097764</v>
      </c>
      <c r="AP111" s="87">
        <v>65.489404641776005</v>
      </c>
      <c r="AQ111" s="7">
        <v>0</v>
      </c>
      <c r="AR111" s="7">
        <v>0</v>
      </c>
      <c r="AS111" s="104">
        <v>11</v>
      </c>
      <c r="AT111" s="10">
        <v>7</v>
      </c>
      <c r="AU111" s="7">
        <v>1</v>
      </c>
      <c r="AV111" s="10">
        <v>6</v>
      </c>
      <c r="AW111" s="10">
        <v>0</v>
      </c>
      <c r="AX111" s="10">
        <v>0</v>
      </c>
      <c r="AY111" s="10">
        <v>0</v>
      </c>
      <c r="AZ111" s="10">
        <v>3</v>
      </c>
      <c r="BA111" s="10">
        <v>3</v>
      </c>
      <c r="BC111" s="10">
        <v>30</v>
      </c>
      <c r="BD111" s="7">
        <v>4</v>
      </c>
      <c r="BE111" s="7">
        <v>4</v>
      </c>
      <c r="BF111" s="7">
        <v>0</v>
      </c>
      <c r="BG111" s="7">
        <v>1</v>
      </c>
      <c r="BH111" s="4">
        <v>7.3701903220774803</v>
      </c>
      <c r="BI111" s="8">
        <v>0</v>
      </c>
      <c r="BJ111" s="8">
        <v>1</v>
      </c>
      <c r="BK111" s="8">
        <v>0</v>
      </c>
      <c r="BL111" s="10" t="s">
        <v>226</v>
      </c>
      <c r="BM111" s="7">
        <v>4</v>
      </c>
      <c r="BN111" s="10"/>
      <c r="BO111" s="10">
        <v>8.0190957700713508</v>
      </c>
      <c r="BP111" s="10">
        <v>2.8611644735857999</v>
      </c>
      <c r="BQ111" s="10">
        <v>11.9331742243437</v>
      </c>
      <c r="BR111" s="10">
        <v>81.742243436754194</v>
      </c>
      <c r="BS111" s="10">
        <v>2</v>
      </c>
      <c r="BT111" s="10">
        <v>58.2338902147971</v>
      </c>
      <c r="BU111" s="10">
        <v>16.393442622950801</v>
      </c>
      <c r="BV111" s="10">
        <v>5.71428571428571</v>
      </c>
      <c r="BW111" s="10">
        <v>2.4040941350649501</v>
      </c>
      <c r="BX111" s="10"/>
      <c r="BY111" s="10"/>
      <c r="BZ111" s="10"/>
      <c r="CA111" s="10"/>
      <c r="CB111" s="10"/>
      <c r="CC111" s="10"/>
      <c r="CD111" s="10"/>
      <c r="CE111" s="10"/>
      <c r="CF111" s="10">
        <v>10.5849582172702</v>
      </c>
      <c r="CG111" s="10">
        <v>83.286908077994397</v>
      </c>
      <c r="CH111" s="10">
        <v>1</v>
      </c>
      <c r="CI111" s="10">
        <v>51.253481894150397</v>
      </c>
      <c r="CJ111" s="10">
        <v>15.2173913043478</v>
      </c>
      <c r="CK111" s="10">
        <v>5.71428571428571</v>
      </c>
      <c r="CL111" s="10" t="s">
        <v>25</v>
      </c>
      <c r="CM111" s="10" t="s">
        <v>25</v>
      </c>
      <c r="CN111" s="10" t="s">
        <v>25</v>
      </c>
      <c r="CO111" s="10" t="s">
        <v>25</v>
      </c>
      <c r="CP111" s="10"/>
    </row>
    <row r="112" spans="1:94" s="6" customFormat="1">
      <c r="A112" s="9" t="s">
        <v>227</v>
      </c>
      <c r="B112" s="6" t="s">
        <v>17</v>
      </c>
      <c r="C112" s="6" t="s">
        <v>18</v>
      </c>
      <c r="D112" s="41">
        <f t="shared" si="5"/>
        <v>61</v>
      </c>
      <c r="E112" s="3">
        <v>44322</v>
      </c>
      <c r="F112" s="3">
        <v>44383</v>
      </c>
      <c r="G112" s="106" t="s">
        <v>587</v>
      </c>
      <c r="H112" s="6">
        <v>5</v>
      </c>
      <c r="I112" s="10">
        <v>23</v>
      </c>
      <c r="J112" s="10">
        <v>2</v>
      </c>
      <c r="K112" s="10">
        <v>0</v>
      </c>
      <c r="L112" s="10">
        <v>0</v>
      </c>
      <c r="M112" s="10">
        <v>1</v>
      </c>
      <c r="N112" s="87">
        <v>4.4841986223388099</v>
      </c>
      <c r="O112" s="10">
        <v>2</v>
      </c>
      <c r="P112" s="10">
        <v>1</v>
      </c>
      <c r="Q112" s="10">
        <v>2</v>
      </c>
      <c r="R112" s="10"/>
      <c r="S112" s="10">
        <v>12</v>
      </c>
      <c r="T112" s="10">
        <v>2</v>
      </c>
      <c r="U112" s="87">
        <v>9.7203321654818797</v>
      </c>
      <c r="V112" s="87">
        <v>1.9976147561322199</v>
      </c>
      <c r="W112" s="10">
        <v>22.136222910216699</v>
      </c>
      <c r="X112" s="10">
        <v>83.281733746130001</v>
      </c>
      <c r="Y112" s="10">
        <v>2</v>
      </c>
      <c r="Z112" s="10">
        <v>51.702786377709003</v>
      </c>
      <c r="AA112" s="10">
        <v>35.329341317365298</v>
      </c>
      <c r="AB112" s="10">
        <v>8.0128205128205092</v>
      </c>
      <c r="AC112" s="10">
        <v>5.7971050089954197</v>
      </c>
      <c r="AD112" s="7">
        <v>13</v>
      </c>
      <c r="AE112" s="10">
        <v>48</v>
      </c>
      <c r="AF112" s="10">
        <v>3</v>
      </c>
      <c r="AG112" s="10">
        <v>3</v>
      </c>
      <c r="AH112" s="10">
        <v>4.5</v>
      </c>
      <c r="AI112" s="10">
        <v>1</v>
      </c>
      <c r="AJ112" s="10">
        <v>0</v>
      </c>
      <c r="AK112" s="10">
        <v>0</v>
      </c>
      <c r="AL112" s="10">
        <v>1</v>
      </c>
      <c r="AM112" s="10">
        <v>0.47028143634747299</v>
      </c>
      <c r="AN112" s="87">
        <v>24.437226272977501</v>
      </c>
      <c r="AO112" s="87">
        <v>3.5471903366221</v>
      </c>
      <c r="AP112" s="87">
        <v>63.5678391959799</v>
      </c>
      <c r="AQ112" s="7">
        <v>0</v>
      </c>
      <c r="AR112" s="7">
        <v>0</v>
      </c>
      <c r="AS112" s="10">
        <v>5</v>
      </c>
      <c r="AT112" s="10">
        <v>3</v>
      </c>
      <c r="AU112" s="7">
        <v>1</v>
      </c>
      <c r="AV112" s="10">
        <v>3</v>
      </c>
      <c r="AW112" s="10">
        <v>0</v>
      </c>
      <c r="AX112" s="10">
        <v>1</v>
      </c>
      <c r="AY112" s="10">
        <v>0</v>
      </c>
      <c r="AZ112" s="10">
        <v>2</v>
      </c>
      <c r="BA112" s="10">
        <v>0</v>
      </c>
      <c r="BC112" s="10">
        <v>2</v>
      </c>
      <c r="BD112" s="5">
        <v>0</v>
      </c>
      <c r="BE112" s="7">
        <v>0</v>
      </c>
      <c r="BF112" s="7">
        <v>0</v>
      </c>
      <c r="BG112" s="7">
        <v>0</v>
      </c>
      <c r="BH112" s="4">
        <v>15.365052981860501</v>
      </c>
      <c r="BI112" s="8">
        <v>0</v>
      </c>
      <c r="BJ112" s="8">
        <v>1</v>
      </c>
      <c r="BK112" s="8">
        <v>0</v>
      </c>
      <c r="BL112" s="10" t="s">
        <v>228</v>
      </c>
      <c r="BM112" s="7">
        <v>1</v>
      </c>
      <c r="BN112" s="10"/>
      <c r="BO112" s="10">
        <v>11.8439575248506</v>
      </c>
      <c r="BP112" s="10">
        <v>0.18937387667671601</v>
      </c>
      <c r="BQ112" s="10">
        <v>19.047619047619001</v>
      </c>
      <c r="BR112" s="10">
        <v>100</v>
      </c>
      <c r="BS112" s="10">
        <v>0</v>
      </c>
      <c r="BT112" s="10">
        <v>78.571428571428598</v>
      </c>
      <c r="BU112" s="10">
        <v>24.2424242424242</v>
      </c>
      <c r="BV112" s="10">
        <v>0</v>
      </c>
      <c r="BW112" s="10">
        <v>14.2032321427096</v>
      </c>
      <c r="BX112" s="10"/>
      <c r="BY112" s="10"/>
      <c r="BZ112" s="10"/>
      <c r="CA112" s="10"/>
      <c r="CB112" s="10"/>
      <c r="CC112" s="10"/>
      <c r="CD112" s="10"/>
      <c r="CE112" s="10"/>
      <c r="CF112" s="10" t="s">
        <v>25</v>
      </c>
      <c r="CG112" s="10" t="s">
        <v>25</v>
      </c>
      <c r="CH112" s="10" t="s">
        <v>25</v>
      </c>
      <c r="CI112" s="10" t="s">
        <v>25</v>
      </c>
      <c r="CJ112" s="10" t="s">
        <v>25</v>
      </c>
      <c r="CK112" s="10" t="s">
        <v>25</v>
      </c>
      <c r="CL112" s="10" t="s">
        <v>25</v>
      </c>
      <c r="CM112" s="10" t="s">
        <v>25</v>
      </c>
      <c r="CN112" s="10" t="s">
        <v>25</v>
      </c>
      <c r="CO112" s="10" t="s">
        <v>25</v>
      </c>
      <c r="CP112" s="10"/>
    </row>
    <row r="113" spans="1:94" s="6" customFormat="1">
      <c r="A113" s="9" t="s">
        <v>229</v>
      </c>
      <c r="B113" s="6" t="s">
        <v>41</v>
      </c>
      <c r="C113" s="6" t="s">
        <v>18</v>
      </c>
      <c r="D113" s="41">
        <f t="shared" si="5"/>
        <v>61</v>
      </c>
      <c r="E113" s="3">
        <v>44322</v>
      </c>
      <c r="F113" s="3">
        <v>44383</v>
      </c>
      <c r="G113" s="106" t="s">
        <v>587</v>
      </c>
      <c r="H113" s="6">
        <v>5</v>
      </c>
      <c r="I113" s="10">
        <v>5</v>
      </c>
      <c r="J113" s="10">
        <v>0</v>
      </c>
      <c r="K113" s="10">
        <v>0</v>
      </c>
      <c r="L113" s="10">
        <v>0</v>
      </c>
      <c r="M113" s="10">
        <v>0</v>
      </c>
      <c r="N113" s="87">
        <v>7.6750210838027799</v>
      </c>
      <c r="O113" s="10">
        <v>0</v>
      </c>
      <c r="P113" s="10">
        <v>1</v>
      </c>
      <c r="Q113" s="10">
        <v>1</v>
      </c>
      <c r="R113" s="10"/>
      <c r="S113" s="10">
        <v>4</v>
      </c>
      <c r="T113" s="10">
        <v>0</v>
      </c>
      <c r="U113" s="87">
        <v>1.44342376363703</v>
      </c>
      <c r="V113" s="87">
        <v>0.31631294785012498</v>
      </c>
      <c r="W113" s="10">
        <v>40.764331210191102</v>
      </c>
      <c r="X113" s="10">
        <v>100</v>
      </c>
      <c r="Y113" s="10">
        <v>0</v>
      </c>
      <c r="Z113" s="10">
        <v>31.210191082802599</v>
      </c>
      <c r="AA113" s="10">
        <v>20.408163265306101</v>
      </c>
      <c r="AB113" s="10">
        <v>50</v>
      </c>
      <c r="AC113" s="10">
        <v>1.58764268703782</v>
      </c>
      <c r="AD113" s="10">
        <v>12</v>
      </c>
      <c r="AE113" s="10">
        <v>29</v>
      </c>
      <c r="AF113" s="10">
        <v>0</v>
      </c>
      <c r="AG113" s="10">
        <v>1</v>
      </c>
      <c r="AH113" s="10">
        <v>11</v>
      </c>
      <c r="AI113" s="10">
        <v>3</v>
      </c>
      <c r="AJ113" s="10">
        <v>1</v>
      </c>
      <c r="AK113" s="10">
        <v>0</v>
      </c>
      <c r="AL113" s="10">
        <v>0</v>
      </c>
      <c r="AM113" s="10">
        <v>0.348616848544615</v>
      </c>
      <c r="AN113" s="87">
        <v>24.633734402242801</v>
      </c>
      <c r="AO113" s="87">
        <v>3.1714367474865899</v>
      </c>
      <c r="AP113" s="87">
        <v>64.848484848484802</v>
      </c>
      <c r="AQ113" s="7">
        <v>0</v>
      </c>
      <c r="AR113" s="7">
        <v>0</v>
      </c>
      <c r="AS113" s="10">
        <v>4</v>
      </c>
      <c r="AT113" s="10">
        <v>3</v>
      </c>
      <c r="AU113" s="7">
        <v>1</v>
      </c>
      <c r="AV113" s="10">
        <v>2</v>
      </c>
      <c r="AW113" s="10">
        <v>0</v>
      </c>
      <c r="AX113" s="10">
        <v>0</v>
      </c>
      <c r="AY113" s="10">
        <v>0</v>
      </c>
      <c r="AZ113" s="10">
        <v>0</v>
      </c>
      <c r="BA113" s="10">
        <v>2</v>
      </c>
      <c r="BC113" s="10">
        <v>8</v>
      </c>
      <c r="BD113" s="7">
        <v>1</v>
      </c>
      <c r="BE113" s="7">
        <v>1</v>
      </c>
      <c r="BF113" s="7">
        <v>0</v>
      </c>
      <c r="BG113" s="7">
        <v>0</v>
      </c>
      <c r="BH113" s="4">
        <v>8.2232287990461792</v>
      </c>
      <c r="BI113" s="8">
        <v>2</v>
      </c>
      <c r="BJ113" s="8">
        <v>2</v>
      </c>
      <c r="BK113" s="8">
        <v>1</v>
      </c>
      <c r="BL113" s="10" t="s">
        <v>230</v>
      </c>
      <c r="BM113" s="7">
        <v>1</v>
      </c>
      <c r="BN113" s="10"/>
      <c r="BO113" s="10">
        <v>14.1711993260332</v>
      </c>
      <c r="BP113" s="10">
        <v>0.86825737865515296</v>
      </c>
      <c r="BQ113" s="10">
        <v>10.5820105820106</v>
      </c>
      <c r="BR113" s="10">
        <v>82.010582010581999</v>
      </c>
      <c r="BS113" s="10">
        <v>1</v>
      </c>
      <c r="BT113" s="10">
        <v>59.259259259259302</v>
      </c>
      <c r="BU113" s="10">
        <v>17.8571428571429</v>
      </c>
      <c r="BV113" s="10">
        <v>0</v>
      </c>
      <c r="BW113" s="10">
        <v>12.8475594641548</v>
      </c>
      <c r="BX113" s="10"/>
      <c r="BY113" s="10"/>
      <c r="BZ113" s="10"/>
      <c r="CA113" s="10"/>
      <c r="CB113" s="10"/>
      <c r="CC113" s="10"/>
      <c r="CD113" s="10"/>
      <c r="CE113" s="10"/>
      <c r="CF113" s="10" t="s">
        <v>25</v>
      </c>
      <c r="CG113" s="10" t="s">
        <v>25</v>
      </c>
      <c r="CH113" s="10" t="s">
        <v>25</v>
      </c>
      <c r="CI113" s="10" t="s">
        <v>25</v>
      </c>
      <c r="CJ113" s="10" t="s">
        <v>25</v>
      </c>
      <c r="CK113" s="10" t="s">
        <v>25</v>
      </c>
      <c r="CL113" s="10" t="s">
        <v>25</v>
      </c>
      <c r="CM113" s="10" t="s">
        <v>25</v>
      </c>
      <c r="CN113" s="10" t="s">
        <v>25</v>
      </c>
      <c r="CO113" s="10" t="s">
        <v>25</v>
      </c>
      <c r="CP113" s="10"/>
    </row>
    <row r="114" spans="1:94" s="6" customFormat="1">
      <c r="A114" s="9" t="s">
        <v>231</v>
      </c>
      <c r="B114" s="6" t="s">
        <v>41</v>
      </c>
      <c r="C114" s="6" t="s">
        <v>18</v>
      </c>
      <c r="D114" s="41">
        <f t="shared" si="5"/>
        <v>61</v>
      </c>
      <c r="E114" s="3">
        <v>44322</v>
      </c>
      <c r="F114" s="3">
        <v>44383</v>
      </c>
      <c r="G114" s="106" t="s">
        <v>587</v>
      </c>
      <c r="H114" s="6">
        <v>5</v>
      </c>
      <c r="I114" s="10">
        <v>2</v>
      </c>
      <c r="J114" s="10">
        <v>0</v>
      </c>
      <c r="K114" s="10">
        <v>0</v>
      </c>
      <c r="L114" s="10">
        <v>0</v>
      </c>
      <c r="M114" s="10">
        <v>0</v>
      </c>
      <c r="N114" s="87">
        <v>10.999966258369801</v>
      </c>
      <c r="O114" s="10">
        <v>0</v>
      </c>
      <c r="P114" s="10">
        <v>1</v>
      </c>
      <c r="Q114" s="93">
        <v>0</v>
      </c>
      <c r="R114" s="93"/>
      <c r="S114" s="10">
        <v>1</v>
      </c>
      <c r="T114" s="10">
        <v>0</v>
      </c>
      <c r="U114" s="87">
        <v>11.1883985874116</v>
      </c>
      <c r="V114" s="87">
        <v>0.16123197006661499</v>
      </c>
      <c r="W114" s="10">
        <v>10.2040816326531</v>
      </c>
      <c r="X114" s="10">
        <v>100</v>
      </c>
      <c r="Y114" s="10">
        <v>0</v>
      </c>
      <c r="Z114" s="10">
        <v>83.673469387755105</v>
      </c>
      <c r="AA114" s="10">
        <v>12.1951219512195</v>
      </c>
      <c r="AB114" s="10">
        <v>0</v>
      </c>
      <c r="AC114" s="10">
        <v>12.4450628281334</v>
      </c>
      <c r="AD114" s="10">
        <v>132</v>
      </c>
      <c r="AE114" s="10">
        <v>150</v>
      </c>
      <c r="AF114" s="10">
        <v>0</v>
      </c>
      <c r="AG114" s="10">
        <v>1</v>
      </c>
      <c r="AH114" s="10">
        <v>20</v>
      </c>
      <c r="AI114" s="10">
        <v>2</v>
      </c>
      <c r="AJ114" s="10">
        <v>3</v>
      </c>
      <c r="AK114" s="10">
        <v>5</v>
      </c>
      <c r="AL114" s="10">
        <v>15</v>
      </c>
      <c r="AM114" s="10">
        <v>8.1519312083526607</v>
      </c>
      <c r="AN114" s="87">
        <v>35.190416467798102</v>
      </c>
      <c r="AO114" s="87">
        <v>6.2077862563940798</v>
      </c>
      <c r="AP114" s="87">
        <v>46.245560629122302</v>
      </c>
      <c r="AQ114" s="7">
        <v>0</v>
      </c>
      <c r="AR114" s="7">
        <v>0</v>
      </c>
      <c r="AS114" s="93">
        <v>3</v>
      </c>
      <c r="AT114" s="10">
        <v>4</v>
      </c>
      <c r="AU114" s="7">
        <v>1</v>
      </c>
      <c r="AV114" s="10">
        <v>17</v>
      </c>
      <c r="AW114" s="10">
        <v>4</v>
      </c>
      <c r="AX114" s="10">
        <v>4</v>
      </c>
      <c r="AY114" s="10">
        <v>4</v>
      </c>
      <c r="AZ114" s="10">
        <v>5</v>
      </c>
      <c r="BA114" s="10">
        <v>0</v>
      </c>
      <c r="BC114" s="10">
        <v>26</v>
      </c>
      <c r="BD114" s="7">
        <v>3</v>
      </c>
      <c r="BE114" s="7">
        <v>3</v>
      </c>
      <c r="BF114" s="7">
        <v>0</v>
      </c>
      <c r="BG114" s="7">
        <v>2</v>
      </c>
      <c r="BH114" s="4">
        <v>8.5944510242602199</v>
      </c>
      <c r="BI114" s="8">
        <v>4</v>
      </c>
      <c r="BJ114" s="8">
        <v>3</v>
      </c>
      <c r="BK114" s="8">
        <v>3</v>
      </c>
      <c r="BL114" s="10" t="s">
        <v>232</v>
      </c>
      <c r="BM114" s="7">
        <v>3</v>
      </c>
      <c r="BN114" s="10"/>
      <c r="BO114" s="10">
        <v>8.7119803097313095</v>
      </c>
      <c r="BP114" s="10">
        <v>2.5605766022932799</v>
      </c>
      <c r="BQ114" s="10">
        <v>10.4417670682731</v>
      </c>
      <c r="BR114" s="10">
        <v>65.060240963855406</v>
      </c>
      <c r="BS114" s="10">
        <v>2</v>
      </c>
      <c r="BT114" s="10">
        <v>47.657295850066902</v>
      </c>
      <c r="BU114" s="10">
        <v>10.955056179775299</v>
      </c>
      <c r="BV114" s="10">
        <v>9.9744245524296709</v>
      </c>
      <c r="BW114" s="10">
        <v>2.7265144853593499</v>
      </c>
      <c r="BX114" s="10"/>
      <c r="BY114" s="10"/>
      <c r="BZ114" s="10"/>
      <c r="CA114" s="10"/>
      <c r="CB114" s="10"/>
      <c r="CC114" s="10"/>
      <c r="CD114" s="10"/>
      <c r="CE114" s="10"/>
      <c r="CF114" s="10">
        <v>10.325318246110299</v>
      </c>
      <c r="CG114" s="10">
        <v>63.083451202263099</v>
      </c>
      <c r="CH114" s="10">
        <v>2</v>
      </c>
      <c r="CI114" s="10">
        <v>44.695898161244699</v>
      </c>
      <c r="CJ114" s="10">
        <v>10.7594936708861</v>
      </c>
      <c r="CK114" s="10">
        <v>9.9744245524296709</v>
      </c>
      <c r="CL114" s="10" t="s">
        <v>25</v>
      </c>
      <c r="CM114" s="10" t="s">
        <v>25</v>
      </c>
      <c r="CN114" s="10" t="s">
        <v>25</v>
      </c>
      <c r="CO114" s="10" t="s">
        <v>25</v>
      </c>
      <c r="CP114" s="10"/>
    </row>
    <row r="115" spans="1:94" s="6" customFormat="1">
      <c r="A115" s="9" t="s">
        <v>233</v>
      </c>
      <c r="B115" s="6" t="s">
        <v>41</v>
      </c>
      <c r="C115" s="6" t="s">
        <v>18</v>
      </c>
      <c r="D115" s="41">
        <f t="shared" si="5"/>
        <v>61</v>
      </c>
      <c r="E115" s="3">
        <v>44322</v>
      </c>
      <c r="F115" s="3">
        <v>44383</v>
      </c>
      <c r="G115" s="106" t="s">
        <v>587</v>
      </c>
      <c r="H115" s="6">
        <v>5</v>
      </c>
      <c r="I115" s="10">
        <v>5</v>
      </c>
      <c r="J115" s="10">
        <v>0</v>
      </c>
      <c r="K115" s="10">
        <v>0</v>
      </c>
      <c r="L115" s="10">
        <v>0</v>
      </c>
      <c r="M115" s="10">
        <v>0</v>
      </c>
      <c r="N115" s="87">
        <v>6.7396840730005199</v>
      </c>
      <c r="O115" s="10">
        <v>0</v>
      </c>
      <c r="P115" s="10">
        <v>1</v>
      </c>
      <c r="Q115" s="10">
        <v>1</v>
      </c>
      <c r="R115" s="10"/>
      <c r="S115" s="10">
        <v>3</v>
      </c>
      <c r="T115" s="10">
        <v>0</v>
      </c>
      <c r="U115" s="87">
        <v>9.8175568059920195</v>
      </c>
      <c r="V115" s="87">
        <v>0.30084362469112802</v>
      </c>
      <c r="W115" s="10">
        <v>39.495798319327697</v>
      </c>
      <c r="X115" s="10">
        <v>91.596638655462201</v>
      </c>
      <c r="Y115" s="10">
        <v>0</v>
      </c>
      <c r="Z115" s="10">
        <v>53.781512605042003</v>
      </c>
      <c r="AA115" s="10">
        <v>26.5625</v>
      </c>
      <c r="AB115" s="10">
        <v>54.545454545454596</v>
      </c>
      <c r="AC115" s="10">
        <v>12.175960734431801</v>
      </c>
      <c r="AD115" s="10">
        <v>180</v>
      </c>
      <c r="AE115" s="10">
        <v>186</v>
      </c>
      <c r="AF115" s="10">
        <v>2</v>
      </c>
      <c r="AG115" s="10">
        <v>2</v>
      </c>
      <c r="AH115" s="10">
        <v>25</v>
      </c>
      <c r="AI115" s="10">
        <v>3</v>
      </c>
      <c r="AJ115" s="10">
        <v>1</v>
      </c>
      <c r="AK115" s="10">
        <v>7</v>
      </c>
      <c r="AL115" s="10">
        <v>20</v>
      </c>
      <c r="AM115" s="10">
        <v>11.8115580938496</v>
      </c>
      <c r="AN115" s="87">
        <v>42.829971463242103</v>
      </c>
      <c r="AO115" s="87">
        <v>7.2978213122899298</v>
      </c>
      <c r="AP115" s="87">
        <v>36.694793167318402</v>
      </c>
      <c r="AQ115" s="7">
        <v>0</v>
      </c>
      <c r="AR115" s="7">
        <v>0</v>
      </c>
      <c r="AS115" s="10">
        <v>3</v>
      </c>
      <c r="AT115" s="10">
        <v>0</v>
      </c>
      <c r="AU115" s="7">
        <v>1</v>
      </c>
      <c r="AV115" s="10">
        <v>18</v>
      </c>
      <c r="AW115" s="10">
        <v>3</v>
      </c>
      <c r="AX115" s="10">
        <v>4</v>
      </c>
      <c r="AY115" s="10">
        <v>5</v>
      </c>
      <c r="AZ115" s="10">
        <v>5</v>
      </c>
      <c r="BA115" s="10">
        <v>1</v>
      </c>
      <c r="BC115" s="10">
        <v>94</v>
      </c>
      <c r="BD115" s="7">
        <v>2</v>
      </c>
      <c r="BE115" s="7">
        <v>3</v>
      </c>
      <c r="BF115" s="7">
        <v>0</v>
      </c>
      <c r="BG115" s="7">
        <v>3</v>
      </c>
      <c r="BH115" s="4">
        <v>7.4615066569018103</v>
      </c>
      <c r="BI115" s="8">
        <v>3</v>
      </c>
      <c r="BJ115" s="8">
        <v>2</v>
      </c>
      <c r="BK115" s="8">
        <v>0</v>
      </c>
      <c r="BL115" s="10" t="s">
        <v>234</v>
      </c>
      <c r="BM115" s="7">
        <v>1</v>
      </c>
      <c r="BN115" s="10"/>
      <c r="BO115" s="10">
        <v>6.3660267022024604</v>
      </c>
      <c r="BP115" s="10">
        <v>5.3122847684886398</v>
      </c>
      <c r="BQ115" s="10">
        <v>43.182627269490901</v>
      </c>
      <c r="BR115" s="10">
        <v>67.212531149875403</v>
      </c>
      <c r="BS115" s="10">
        <v>4</v>
      </c>
      <c r="BT115" s="10">
        <v>52.545389818440697</v>
      </c>
      <c r="BU115" s="10">
        <v>47.086720867208697</v>
      </c>
      <c r="BV115" s="10">
        <v>38.859714928732203</v>
      </c>
      <c r="BW115" s="10">
        <v>5.6921705305816497</v>
      </c>
      <c r="BX115" s="10"/>
      <c r="BY115" s="10"/>
      <c r="BZ115" s="10"/>
      <c r="CA115" s="10"/>
      <c r="CB115" s="10"/>
      <c r="CC115" s="10"/>
      <c r="CD115" s="10"/>
      <c r="CE115" s="10"/>
      <c r="CF115" s="10">
        <v>35.983263598326403</v>
      </c>
      <c r="CG115" s="10">
        <v>80.648535564853603</v>
      </c>
      <c r="CH115" s="10">
        <v>1</v>
      </c>
      <c r="CI115" s="10">
        <v>67.154811715481202</v>
      </c>
      <c r="CJ115" s="10">
        <v>42.056074766355103</v>
      </c>
      <c r="CK115" s="10">
        <v>23.566878980891701</v>
      </c>
      <c r="CL115" s="10" t="s">
        <v>523</v>
      </c>
      <c r="CM115" s="10" t="s">
        <v>524</v>
      </c>
      <c r="CN115" s="10" t="s">
        <v>525</v>
      </c>
      <c r="CO115" s="10" t="s">
        <v>526</v>
      </c>
      <c r="CP115" s="10"/>
    </row>
    <row r="116" spans="1:94" s="6" customFormat="1">
      <c r="A116" s="9" t="s">
        <v>235</v>
      </c>
      <c r="B116" s="6" t="s">
        <v>41</v>
      </c>
      <c r="C116" s="6" t="s">
        <v>18</v>
      </c>
      <c r="D116" s="41">
        <f t="shared" si="5"/>
        <v>61</v>
      </c>
      <c r="E116" s="3">
        <v>44322</v>
      </c>
      <c r="F116" s="3">
        <v>44383</v>
      </c>
      <c r="G116" s="106" t="s">
        <v>587</v>
      </c>
      <c r="H116" s="6">
        <v>5</v>
      </c>
      <c r="I116" s="10">
        <v>24</v>
      </c>
      <c r="J116" s="10">
        <v>2</v>
      </c>
      <c r="K116" s="10">
        <v>1</v>
      </c>
      <c r="L116" s="10">
        <v>1</v>
      </c>
      <c r="M116" s="10">
        <v>0</v>
      </c>
      <c r="N116" s="87">
        <v>8.1126698936568005</v>
      </c>
      <c r="O116" s="10">
        <v>2</v>
      </c>
      <c r="P116" s="10">
        <v>2</v>
      </c>
      <c r="Q116" s="93">
        <v>0</v>
      </c>
      <c r="R116" s="93"/>
      <c r="S116" s="10">
        <v>6</v>
      </c>
      <c r="T116" s="10">
        <v>2</v>
      </c>
      <c r="U116" s="87">
        <v>5.4845813381031903</v>
      </c>
      <c r="V116" s="87">
        <v>1.6682407228457901</v>
      </c>
      <c r="W116" s="10">
        <v>24.823695345557098</v>
      </c>
      <c r="X116" s="10">
        <v>93.370944992947798</v>
      </c>
      <c r="Y116" s="10">
        <v>1</v>
      </c>
      <c r="Z116" s="10">
        <v>57.404795486600896</v>
      </c>
      <c r="AA116" s="10">
        <v>25.798525798525802</v>
      </c>
      <c r="AB116" s="10">
        <v>23.509933774834401</v>
      </c>
      <c r="AC116" s="10">
        <v>5.9244137482046</v>
      </c>
      <c r="AD116" s="10">
        <v>3</v>
      </c>
      <c r="AE116" s="10">
        <v>43</v>
      </c>
      <c r="AF116" s="10">
        <v>1</v>
      </c>
      <c r="AG116" s="10">
        <v>0</v>
      </c>
      <c r="AH116" s="10">
        <v>1</v>
      </c>
      <c r="AI116" s="10">
        <v>1</v>
      </c>
      <c r="AJ116" s="10">
        <v>2</v>
      </c>
      <c r="AK116" s="10">
        <v>0</v>
      </c>
      <c r="AL116" s="10">
        <v>0</v>
      </c>
      <c r="AM116" s="10">
        <v>0.18328762886491101</v>
      </c>
      <c r="AN116" s="87">
        <v>20.661236149533099</v>
      </c>
      <c r="AO116" s="87">
        <v>6.3242749500414703</v>
      </c>
      <c r="AP116" s="87">
        <v>26.4367816091954</v>
      </c>
      <c r="AQ116" s="7">
        <v>0</v>
      </c>
      <c r="AR116" s="7">
        <v>0</v>
      </c>
      <c r="AS116" s="9">
        <v>4</v>
      </c>
      <c r="AT116" s="10">
        <v>3</v>
      </c>
      <c r="AU116" s="7">
        <v>1</v>
      </c>
      <c r="AV116" s="10">
        <v>2</v>
      </c>
      <c r="AW116" s="10">
        <v>0</v>
      </c>
      <c r="AX116" s="10">
        <v>0</v>
      </c>
      <c r="AY116" s="10">
        <v>1</v>
      </c>
      <c r="AZ116" s="10">
        <v>0</v>
      </c>
      <c r="BA116" s="10">
        <v>0</v>
      </c>
      <c r="BC116" s="10">
        <v>76</v>
      </c>
      <c r="BD116" s="7">
        <v>3</v>
      </c>
      <c r="BE116" s="7">
        <v>4</v>
      </c>
      <c r="BF116" s="7">
        <v>0</v>
      </c>
      <c r="BG116" s="7">
        <v>5</v>
      </c>
      <c r="BH116" s="4">
        <v>3.9752214019858001</v>
      </c>
      <c r="BI116" s="8">
        <v>3</v>
      </c>
      <c r="BJ116" s="8">
        <v>2</v>
      </c>
      <c r="BK116" s="8">
        <v>1</v>
      </c>
      <c r="BL116" s="10" t="s">
        <v>236</v>
      </c>
      <c r="BM116" s="7">
        <v>4</v>
      </c>
      <c r="BN116" s="10"/>
      <c r="BO116" s="10">
        <v>10.138509781638099</v>
      </c>
      <c r="BP116" s="10">
        <v>4.6942645035785704</v>
      </c>
      <c r="BQ116" s="10">
        <v>34.091923248549797</v>
      </c>
      <c r="BR116" s="10">
        <v>41.454707719768003</v>
      </c>
      <c r="BS116" s="10">
        <v>7</v>
      </c>
      <c r="BT116" s="10">
        <v>54.172244533690296</v>
      </c>
      <c r="BU116" s="10">
        <v>37.2322899505766</v>
      </c>
      <c r="BV116" s="10">
        <v>30.379746835443001</v>
      </c>
      <c r="BW116" s="10">
        <v>6.5767802256696504</v>
      </c>
      <c r="BX116" s="10"/>
      <c r="BY116" s="10"/>
      <c r="BZ116" s="10"/>
      <c r="CA116" s="10"/>
      <c r="CB116" s="10"/>
      <c r="CC116" s="10"/>
      <c r="CD116" s="10"/>
      <c r="CE116" s="10"/>
      <c r="CF116" s="10">
        <v>13.4848484848485</v>
      </c>
      <c r="CG116" s="10">
        <v>77.727272727272705</v>
      </c>
      <c r="CH116" s="10">
        <v>2</v>
      </c>
      <c r="CI116" s="10">
        <v>51.818181818181799</v>
      </c>
      <c r="CJ116" s="10">
        <v>14.327485380117</v>
      </c>
      <c r="CK116" s="10">
        <v>12.578616352201299</v>
      </c>
      <c r="CL116" s="10" t="s">
        <v>527</v>
      </c>
      <c r="CM116" s="10" t="s">
        <v>528</v>
      </c>
      <c r="CN116" s="10" t="s">
        <v>529</v>
      </c>
      <c r="CO116" s="10" t="s">
        <v>530</v>
      </c>
      <c r="CP116" s="10"/>
    </row>
    <row r="117" spans="1:94" s="6" customFormat="1">
      <c r="A117" s="9" t="s">
        <v>237</v>
      </c>
      <c r="B117" s="6" t="s">
        <v>41</v>
      </c>
      <c r="C117" s="6" t="s">
        <v>18</v>
      </c>
      <c r="D117" s="41">
        <f t="shared" si="5"/>
        <v>61</v>
      </c>
      <c r="E117" s="3">
        <v>44322</v>
      </c>
      <c r="F117" s="3">
        <v>44383</v>
      </c>
      <c r="G117" s="106" t="s">
        <v>587</v>
      </c>
      <c r="H117" s="6">
        <v>5</v>
      </c>
      <c r="I117" s="10">
        <v>2</v>
      </c>
      <c r="J117" s="10">
        <v>0</v>
      </c>
      <c r="K117" s="10">
        <v>0</v>
      </c>
      <c r="L117" s="10">
        <v>0</v>
      </c>
      <c r="M117" s="10">
        <v>0</v>
      </c>
      <c r="N117" s="87">
        <v>12.3017568510249</v>
      </c>
      <c r="O117" s="10">
        <v>0</v>
      </c>
      <c r="P117" s="10">
        <v>1</v>
      </c>
      <c r="Q117" s="10">
        <v>0</v>
      </c>
      <c r="R117" s="10"/>
      <c r="S117" s="10">
        <v>2</v>
      </c>
      <c r="T117" s="10">
        <v>0</v>
      </c>
      <c r="U117" s="87">
        <v>11.7785893156359</v>
      </c>
      <c r="V117" s="87">
        <v>0.184391651985058</v>
      </c>
      <c r="W117" s="10">
        <v>16</v>
      </c>
      <c r="X117" s="10">
        <v>62</v>
      </c>
      <c r="Y117" s="10">
        <v>0</v>
      </c>
      <c r="Z117" s="10">
        <v>66</v>
      </c>
      <c r="AA117" s="10">
        <v>24.2424242424242</v>
      </c>
      <c r="AB117" s="10">
        <v>0</v>
      </c>
      <c r="AC117" s="10">
        <v>7.4320098840385302</v>
      </c>
      <c r="AD117" s="10">
        <v>7</v>
      </c>
      <c r="AE117" s="10">
        <v>45</v>
      </c>
      <c r="AF117" s="10">
        <v>1</v>
      </c>
      <c r="AG117" s="10">
        <v>1</v>
      </c>
      <c r="AH117" s="10">
        <v>5</v>
      </c>
      <c r="AI117" s="10">
        <v>2</v>
      </c>
      <c r="AJ117" s="10">
        <v>2</v>
      </c>
      <c r="AK117" s="10">
        <v>0</v>
      </c>
      <c r="AL117" s="10">
        <v>0</v>
      </c>
      <c r="AM117" s="10">
        <v>0.170128813816114</v>
      </c>
      <c r="AN117" s="87">
        <v>19.6576852121635</v>
      </c>
      <c r="AO117" s="87">
        <v>4.72925264961001</v>
      </c>
      <c r="AP117" s="87">
        <v>39.814814814814802</v>
      </c>
      <c r="AQ117" s="7">
        <v>2</v>
      </c>
      <c r="AR117" s="7">
        <v>0</v>
      </c>
      <c r="AS117" s="10">
        <v>4</v>
      </c>
      <c r="AT117" s="10">
        <v>5</v>
      </c>
      <c r="AU117" s="7">
        <v>3</v>
      </c>
      <c r="AV117" s="10">
        <v>3</v>
      </c>
      <c r="AW117" s="10">
        <v>0</v>
      </c>
      <c r="AX117" s="10">
        <v>0</v>
      </c>
      <c r="AY117" s="10">
        <v>2</v>
      </c>
      <c r="AZ117" s="10">
        <v>1</v>
      </c>
      <c r="BA117" s="10">
        <v>0</v>
      </c>
      <c r="BC117" s="10">
        <v>18</v>
      </c>
      <c r="BD117" s="7">
        <v>2</v>
      </c>
      <c r="BE117" s="7">
        <v>2</v>
      </c>
      <c r="BF117" s="7">
        <v>0</v>
      </c>
      <c r="BG117" s="7">
        <v>2</v>
      </c>
      <c r="BH117" s="4">
        <v>14.313863674155099</v>
      </c>
      <c r="BI117" s="8">
        <v>3</v>
      </c>
      <c r="BJ117" s="8">
        <v>2</v>
      </c>
      <c r="BK117" s="8">
        <v>2</v>
      </c>
      <c r="BL117" s="10" t="s">
        <v>238</v>
      </c>
      <c r="BM117" s="7">
        <v>2</v>
      </c>
      <c r="BN117" s="10"/>
      <c r="BO117" s="10">
        <v>11.144088248732499</v>
      </c>
      <c r="BP117" s="10">
        <v>2.6171931323101498</v>
      </c>
      <c r="BQ117" s="10">
        <v>7.6635514018691602</v>
      </c>
      <c r="BR117" s="10">
        <v>87.663551401869199</v>
      </c>
      <c r="BS117" s="10">
        <v>1</v>
      </c>
      <c r="BT117" s="10">
        <v>57.009345794392502</v>
      </c>
      <c r="BU117" s="10">
        <v>12.1311475409836</v>
      </c>
      <c r="BV117" s="10">
        <v>1.73913043478261</v>
      </c>
      <c r="BW117" s="10">
        <v>14.2650343703889</v>
      </c>
      <c r="BX117" s="10"/>
      <c r="BY117" s="10"/>
      <c r="BZ117" s="10"/>
      <c r="CA117" s="10"/>
      <c r="CB117" s="10"/>
      <c r="CC117" s="10"/>
      <c r="CD117" s="10"/>
      <c r="CE117" s="10"/>
      <c r="CF117" s="10">
        <v>7.9611650485436902</v>
      </c>
      <c r="CG117" s="10">
        <v>87.184466019417499</v>
      </c>
      <c r="CH117" s="10">
        <v>1</v>
      </c>
      <c r="CI117" s="10">
        <v>55.339805825242699</v>
      </c>
      <c r="CJ117" s="10">
        <v>12.9824561403509</v>
      </c>
      <c r="CK117" s="10">
        <v>1.73913043478261</v>
      </c>
      <c r="CL117" s="10" t="s">
        <v>25</v>
      </c>
      <c r="CM117" s="10" t="s">
        <v>25</v>
      </c>
      <c r="CN117" s="10" t="s">
        <v>25</v>
      </c>
      <c r="CO117" s="10" t="s">
        <v>25</v>
      </c>
      <c r="CP117" s="10"/>
    </row>
    <row r="118" spans="1:94" s="6" customFormat="1">
      <c r="A118" s="25" t="s">
        <v>239</v>
      </c>
      <c r="B118" s="26" t="s">
        <v>41</v>
      </c>
      <c r="C118" s="6" t="s">
        <v>18</v>
      </c>
      <c r="D118" s="27">
        <f t="shared" si="5"/>
        <v>55</v>
      </c>
      <c r="E118" s="29">
        <v>44294</v>
      </c>
      <c r="F118" s="29">
        <v>44349</v>
      </c>
      <c r="G118" s="107"/>
      <c r="H118" s="6">
        <v>4</v>
      </c>
      <c r="I118" s="10">
        <v>4</v>
      </c>
      <c r="J118" s="10">
        <v>1</v>
      </c>
      <c r="K118" s="10">
        <v>0</v>
      </c>
      <c r="L118" s="10">
        <v>0</v>
      </c>
      <c r="M118" s="10">
        <v>0</v>
      </c>
      <c r="N118" s="87">
        <v>2.4163684414954498</v>
      </c>
      <c r="O118" s="10">
        <v>0</v>
      </c>
      <c r="P118" s="10">
        <v>1</v>
      </c>
      <c r="Q118" s="10">
        <v>0</v>
      </c>
      <c r="R118" s="10"/>
      <c r="S118" s="10">
        <v>2</v>
      </c>
      <c r="T118" s="10">
        <v>1</v>
      </c>
      <c r="U118" s="87">
        <v>10.3900291495984</v>
      </c>
      <c r="V118" s="87">
        <v>0.23806822884090001</v>
      </c>
      <c r="W118" s="10">
        <v>38.596491228070199</v>
      </c>
      <c r="X118" s="10">
        <v>100</v>
      </c>
      <c r="Y118" s="10">
        <v>0</v>
      </c>
      <c r="Z118" s="10">
        <v>91.228070175438603</v>
      </c>
      <c r="AA118" s="10">
        <v>42.307692307692299</v>
      </c>
      <c r="AB118" s="10">
        <v>0</v>
      </c>
      <c r="AC118" s="10">
        <v>5.6067436290439101</v>
      </c>
      <c r="AD118" s="10">
        <v>431</v>
      </c>
      <c r="AE118" s="4">
        <v>442</v>
      </c>
      <c r="AF118" s="4">
        <v>0.5</v>
      </c>
      <c r="AG118" s="10">
        <v>0.5</v>
      </c>
      <c r="AH118" s="10">
        <v>59</v>
      </c>
      <c r="AI118" s="4">
        <v>2</v>
      </c>
      <c r="AJ118" s="10">
        <v>1</v>
      </c>
      <c r="AK118" s="10">
        <v>10</v>
      </c>
      <c r="AL118" s="10">
        <v>25</v>
      </c>
      <c r="AM118" s="10">
        <v>17.940317212285802</v>
      </c>
      <c r="AN118" s="87">
        <v>34.074870567124997</v>
      </c>
      <c r="AO118" s="87">
        <v>4.1631485103137198</v>
      </c>
      <c r="AP118" s="87">
        <v>56.9573283858998</v>
      </c>
      <c r="AQ118" s="10">
        <v>0</v>
      </c>
      <c r="AR118" s="10">
        <v>0</v>
      </c>
      <c r="AS118" s="10">
        <v>2</v>
      </c>
      <c r="AT118" s="10">
        <v>0</v>
      </c>
      <c r="AU118" s="10">
        <v>2</v>
      </c>
      <c r="AV118" s="10">
        <v>50</v>
      </c>
      <c r="AW118" s="10">
        <v>15</v>
      </c>
      <c r="AX118" s="10">
        <v>12</v>
      </c>
      <c r="AY118" s="10">
        <v>11</v>
      </c>
      <c r="AZ118" s="10">
        <v>11</v>
      </c>
      <c r="BA118" s="10">
        <v>1</v>
      </c>
      <c r="BC118" s="10">
        <v>309</v>
      </c>
      <c r="BD118" s="7">
        <v>4</v>
      </c>
      <c r="BE118" s="7">
        <v>3</v>
      </c>
      <c r="BF118" s="7">
        <v>1</v>
      </c>
      <c r="BG118" s="7">
        <v>2</v>
      </c>
      <c r="BH118" s="4">
        <v>9.6918531673682295</v>
      </c>
      <c r="BI118" s="8">
        <v>3</v>
      </c>
      <c r="BJ118" s="8">
        <v>3</v>
      </c>
      <c r="BK118" s="8">
        <v>2</v>
      </c>
      <c r="BL118" s="10" t="s">
        <v>240</v>
      </c>
      <c r="BM118" s="10">
        <f>23-7</f>
        <v>16</v>
      </c>
      <c r="BN118" s="10"/>
      <c r="BO118" s="10">
        <v>8.0769175107527005</v>
      </c>
      <c r="BP118" s="10">
        <v>10.762295934958701</v>
      </c>
      <c r="BQ118" s="10">
        <v>54.779609871753401</v>
      </c>
      <c r="BR118" s="10">
        <v>37.288500916046999</v>
      </c>
      <c r="BS118" s="10">
        <v>24</v>
      </c>
      <c r="BT118" s="10">
        <v>42.493803211553001</v>
      </c>
      <c r="BU118" s="10">
        <v>51.914785696170398</v>
      </c>
      <c r="BV118" s="10">
        <v>56.8965517241379</v>
      </c>
      <c r="BW118" s="10">
        <v>2.35844796222199</v>
      </c>
      <c r="BX118" s="10"/>
      <c r="BY118" s="10"/>
      <c r="BZ118" s="10"/>
      <c r="CA118" s="10"/>
      <c r="CB118" s="10"/>
      <c r="CC118" s="10"/>
      <c r="CD118" s="10"/>
      <c r="CE118" s="10"/>
      <c r="CF118" s="10">
        <v>25.353356890459398</v>
      </c>
      <c r="CG118" s="10">
        <v>41.696113074204902</v>
      </c>
      <c r="CH118" s="10">
        <v>3</v>
      </c>
      <c r="CI118" s="10">
        <v>49.204946996466397</v>
      </c>
      <c r="CJ118" s="10">
        <v>18.850987432675002</v>
      </c>
      <c r="CK118" s="10">
        <v>31.652173913043502</v>
      </c>
      <c r="CL118" s="10">
        <v>0</v>
      </c>
      <c r="CM118" s="10" t="s">
        <v>531</v>
      </c>
      <c r="CN118" s="10" t="s">
        <v>532</v>
      </c>
      <c r="CO118" s="10" t="s">
        <v>533</v>
      </c>
      <c r="CP118" s="10"/>
    </row>
    <row r="119" spans="1:94" s="6" customFormat="1">
      <c r="A119" s="25" t="s">
        <v>241</v>
      </c>
      <c r="B119" s="26" t="s">
        <v>17</v>
      </c>
      <c r="C119" s="6" t="s">
        <v>18</v>
      </c>
      <c r="D119" s="41">
        <f t="shared" si="5"/>
        <v>61</v>
      </c>
      <c r="E119" s="12">
        <v>44322</v>
      </c>
      <c r="F119" s="12">
        <v>44383</v>
      </c>
      <c r="G119" s="106" t="s">
        <v>587</v>
      </c>
      <c r="H119" s="6">
        <v>5</v>
      </c>
      <c r="I119" s="10">
        <v>3</v>
      </c>
      <c r="J119" s="10">
        <v>0</v>
      </c>
      <c r="K119" s="10">
        <v>0</v>
      </c>
      <c r="L119" s="10">
        <v>0</v>
      </c>
      <c r="M119" s="10">
        <v>0</v>
      </c>
      <c r="N119" s="87">
        <v>9.9991512986423992</v>
      </c>
      <c r="O119" s="10">
        <v>0</v>
      </c>
      <c r="P119" s="10">
        <v>1</v>
      </c>
      <c r="Q119" s="10">
        <v>0</v>
      </c>
      <c r="R119" s="10"/>
      <c r="S119" s="10">
        <v>3</v>
      </c>
      <c r="T119" s="10">
        <v>0</v>
      </c>
      <c r="U119" s="87">
        <v>10.916183024274799</v>
      </c>
      <c r="V119" s="87">
        <v>0.20505715012064199</v>
      </c>
      <c r="W119" s="10">
        <v>11.764705882352899</v>
      </c>
      <c r="X119" s="10">
        <v>26.470588235294102</v>
      </c>
      <c r="Y119" s="10">
        <v>0</v>
      </c>
      <c r="Z119" s="10">
        <v>61.764705882352899</v>
      </c>
      <c r="AA119" s="10">
        <v>19.047619047619001</v>
      </c>
      <c r="AB119" s="10">
        <v>0</v>
      </c>
      <c r="AC119" s="10">
        <v>7.5734172205782402</v>
      </c>
      <c r="AD119" s="10">
        <v>341</v>
      </c>
      <c r="AE119" s="10">
        <f>6*60+10</f>
        <v>370</v>
      </c>
      <c r="AF119" s="10">
        <v>0.5</v>
      </c>
      <c r="AG119" s="10">
        <v>1</v>
      </c>
      <c r="AH119" s="10">
        <v>18</v>
      </c>
      <c r="AI119" s="10">
        <v>1</v>
      </c>
      <c r="AJ119" s="10">
        <v>2</v>
      </c>
      <c r="AK119" s="10">
        <v>17</v>
      </c>
      <c r="AL119" s="10">
        <v>24</v>
      </c>
      <c r="AM119" s="10">
        <v>14.782105978709</v>
      </c>
      <c r="AN119" s="87">
        <v>36.973122946042103</v>
      </c>
      <c r="AO119" s="87">
        <v>4.4282962988532502</v>
      </c>
      <c r="AP119" s="87">
        <v>58.371582518459398</v>
      </c>
      <c r="AQ119" s="10">
        <v>0</v>
      </c>
      <c r="AR119" s="10">
        <v>0</v>
      </c>
      <c r="AS119" s="10">
        <v>0</v>
      </c>
      <c r="AT119" s="10">
        <v>0</v>
      </c>
      <c r="AU119" s="10">
        <v>1</v>
      </c>
      <c r="AV119" s="10">
        <v>36</v>
      </c>
      <c r="AW119" s="10">
        <v>22</v>
      </c>
      <c r="AX119" s="10">
        <v>8</v>
      </c>
      <c r="AY119" s="10">
        <v>3</v>
      </c>
      <c r="AZ119" s="10">
        <v>3</v>
      </c>
      <c r="BA119" s="10">
        <v>0</v>
      </c>
      <c r="BC119" s="10">
        <v>600</v>
      </c>
      <c r="BD119" s="7">
        <v>15</v>
      </c>
      <c r="BE119" s="7">
        <v>12</v>
      </c>
      <c r="BF119" s="7">
        <v>0</v>
      </c>
      <c r="BG119" s="7">
        <v>7</v>
      </c>
      <c r="BH119" s="4" t="s">
        <v>25</v>
      </c>
      <c r="BI119" s="8">
        <v>5</v>
      </c>
      <c r="BJ119" s="8">
        <v>5</v>
      </c>
      <c r="BK119" s="8">
        <v>5</v>
      </c>
      <c r="BL119" s="10" t="s">
        <v>42</v>
      </c>
      <c r="BM119" s="10">
        <v>2</v>
      </c>
      <c r="BN119" s="10"/>
      <c r="BO119" s="10">
        <v>13.5762666895055</v>
      </c>
      <c r="BP119" s="10">
        <v>23.051474533360501</v>
      </c>
      <c r="BQ119" s="10">
        <v>52.816586565329203</v>
      </c>
      <c r="BR119" s="10">
        <v>27.657315301218301</v>
      </c>
      <c r="BS119" s="10">
        <v>55</v>
      </c>
      <c r="BT119" s="10">
        <v>33.8772772996535</v>
      </c>
      <c r="BU119" s="10">
        <v>44.1603431210822</v>
      </c>
      <c r="BV119" s="10">
        <v>57.251521298174403</v>
      </c>
      <c r="BW119" s="10" t="s">
        <v>25</v>
      </c>
      <c r="BX119" s="10"/>
      <c r="BY119" s="10"/>
      <c r="BZ119" s="10"/>
      <c r="CA119" s="10"/>
      <c r="CB119" s="10"/>
      <c r="CC119" s="10"/>
      <c r="CD119" s="10"/>
      <c r="CE119" s="10"/>
      <c r="CF119" s="10">
        <v>7.2115384615384599</v>
      </c>
      <c r="CG119" s="10">
        <v>78.685897435897402</v>
      </c>
      <c r="CH119" s="10">
        <v>2</v>
      </c>
      <c r="CI119" s="10">
        <v>47.275641025641001</v>
      </c>
      <c r="CJ119" s="10">
        <v>9.4915254237288096</v>
      </c>
      <c r="CK119" s="10">
        <v>5.1671732522796399</v>
      </c>
      <c r="CL119" s="10" t="s">
        <v>534</v>
      </c>
      <c r="CM119" s="10" t="s">
        <v>535</v>
      </c>
      <c r="CN119" s="10" t="s">
        <v>536</v>
      </c>
      <c r="CO119" s="10" t="s">
        <v>537</v>
      </c>
      <c r="CP119" s="10"/>
    </row>
    <row r="120" spans="1:94" s="6" customFormat="1">
      <c r="A120" s="25" t="s">
        <v>242</v>
      </c>
      <c r="B120" s="26" t="s">
        <v>41</v>
      </c>
      <c r="C120" s="6" t="s">
        <v>18</v>
      </c>
      <c r="D120" s="41">
        <f t="shared" si="5"/>
        <v>61</v>
      </c>
      <c r="E120" s="12">
        <v>44322</v>
      </c>
      <c r="F120" s="12">
        <v>44383</v>
      </c>
      <c r="G120" s="12"/>
      <c r="H120" s="6">
        <v>4</v>
      </c>
      <c r="I120" s="10">
        <v>3</v>
      </c>
      <c r="J120" s="10">
        <v>0</v>
      </c>
      <c r="K120" s="10">
        <v>0</v>
      </c>
      <c r="L120" s="10">
        <v>0</v>
      </c>
      <c r="M120" s="10">
        <v>0</v>
      </c>
      <c r="N120" s="87">
        <v>8.6507984150802599</v>
      </c>
      <c r="O120" s="10">
        <v>0</v>
      </c>
      <c r="P120" s="10">
        <v>1</v>
      </c>
      <c r="Q120" s="10">
        <v>0</v>
      </c>
      <c r="R120" s="10"/>
      <c r="S120" s="10">
        <v>3</v>
      </c>
      <c r="T120" s="10">
        <v>0</v>
      </c>
      <c r="U120" s="87">
        <v>9.0531061209126804</v>
      </c>
      <c r="V120" s="87">
        <v>0.170005118777563</v>
      </c>
      <c r="W120" s="10">
        <v>23.4375</v>
      </c>
      <c r="X120" s="10">
        <v>100</v>
      </c>
      <c r="Y120" s="10">
        <v>0</v>
      </c>
      <c r="Z120" s="10">
        <v>89.0625</v>
      </c>
      <c r="AA120" s="10">
        <v>26.315789473684202</v>
      </c>
      <c r="AB120" s="10">
        <v>0</v>
      </c>
      <c r="AC120" s="10">
        <v>13.701828526516</v>
      </c>
      <c r="AD120" s="10">
        <v>538</v>
      </c>
      <c r="AE120" s="10">
        <v>555</v>
      </c>
      <c r="AF120" s="10">
        <v>0</v>
      </c>
      <c r="AG120" s="10">
        <v>0.5</v>
      </c>
      <c r="AH120" s="10">
        <v>90</v>
      </c>
      <c r="AI120" s="10">
        <v>3</v>
      </c>
      <c r="AJ120" s="10">
        <v>3</v>
      </c>
      <c r="AK120" s="10">
        <v>29</v>
      </c>
      <c r="AL120" s="10">
        <v>36</v>
      </c>
      <c r="AM120" s="10">
        <v>28.154783609814601</v>
      </c>
      <c r="AN120" s="87">
        <v>41.375317849462</v>
      </c>
      <c r="AO120" s="87">
        <v>5.2455984238951103</v>
      </c>
      <c r="AP120" s="87">
        <v>52.364403624177697</v>
      </c>
      <c r="AQ120" s="10">
        <v>0</v>
      </c>
      <c r="AR120" s="10">
        <v>0</v>
      </c>
      <c r="AS120" s="10">
        <v>2</v>
      </c>
      <c r="AT120" s="10">
        <v>0</v>
      </c>
      <c r="AU120" s="10">
        <v>1</v>
      </c>
      <c r="AV120" s="10">
        <v>62</v>
      </c>
      <c r="AW120" s="10">
        <v>19</v>
      </c>
      <c r="AX120" s="10">
        <v>6</v>
      </c>
      <c r="AY120" s="10">
        <v>17</v>
      </c>
      <c r="AZ120" s="10">
        <v>15</v>
      </c>
      <c r="BA120" s="10">
        <v>5</v>
      </c>
      <c r="BC120" s="10">
        <v>5</v>
      </c>
      <c r="BD120" s="7">
        <v>0</v>
      </c>
      <c r="BE120" s="7">
        <v>0</v>
      </c>
      <c r="BF120" s="7">
        <v>0</v>
      </c>
      <c r="BG120" s="7">
        <v>0</v>
      </c>
      <c r="BH120" s="4">
        <v>6.4805508943076102</v>
      </c>
      <c r="BI120" s="8">
        <v>3</v>
      </c>
      <c r="BJ120" s="8">
        <v>2</v>
      </c>
      <c r="BK120" s="8">
        <v>1</v>
      </c>
      <c r="BL120" s="10" t="s">
        <v>243</v>
      </c>
      <c r="BM120" s="10">
        <v>5</v>
      </c>
      <c r="BN120" s="10"/>
      <c r="BO120" s="10">
        <v>9.4600831511505703</v>
      </c>
      <c r="BP120" s="10">
        <v>0.32863806022072101</v>
      </c>
      <c r="BQ120" s="10">
        <v>37.419354838709701</v>
      </c>
      <c r="BR120" s="10">
        <v>100</v>
      </c>
      <c r="BS120" s="10">
        <v>0</v>
      </c>
      <c r="BT120" s="10">
        <v>66.451612903225794</v>
      </c>
      <c r="BU120" s="10">
        <v>40.776699029126199</v>
      </c>
      <c r="BV120" s="10">
        <v>30.769230769230798</v>
      </c>
      <c r="BW120" s="10">
        <v>8.2181227706061701</v>
      </c>
      <c r="BX120" s="10"/>
      <c r="BY120" s="10"/>
      <c r="BZ120" s="10"/>
      <c r="CA120" s="10"/>
      <c r="CB120" s="10"/>
      <c r="CC120" s="10"/>
      <c r="CD120" s="10"/>
      <c r="CE120" s="10"/>
      <c r="CF120" s="10" t="s">
        <v>25</v>
      </c>
      <c r="CG120" s="10" t="s">
        <v>25</v>
      </c>
      <c r="CH120" s="10" t="s">
        <v>25</v>
      </c>
      <c r="CI120" s="10" t="s">
        <v>25</v>
      </c>
      <c r="CJ120" s="10" t="s">
        <v>25</v>
      </c>
      <c r="CK120" s="10" t="s">
        <v>25</v>
      </c>
      <c r="CL120" s="10" t="s">
        <v>25</v>
      </c>
      <c r="CM120" s="10" t="s">
        <v>25</v>
      </c>
      <c r="CN120" s="10" t="s">
        <v>25</v>
      </c>
      <c r="CO120" s="10" t="s">
        <v>25</v>
      </c>
      <c r="CP120" s="10"/>
    </row>
    <row r="121" spans="1:94" s="6" customFormat="1">
      <c r="A121" s="25" t="s">
        <v>244</v>
      </c>
      <c r="B121" s="6" t="s">
        <v>17</v>
      </c>
      <c r="C121" s="6" t="s">
        <v>18</v>
      </c>
      <c r="D121" s="41">
        <f t="shared" si="5"/>
        <v>61</v>
      </c>
      <c r="E121" s="12">
        <v>44322</v>
      </c>
      <c r="F121" s="12">
        <v>44383</v>
      </c>
      <c r="G121" s="12"/>
      <c r="H121" s="6">
        <v>4</v>
      </c>
      <c r="I121" s="10">
        <v>7</v>
      </c>
      <c r="J121" s="10">
        <v>1</v>
      </c>
      <c r="K121" s="10">
        <v>0</v>
      </c>
      <c r="L121" s="10">
        <v>0</v>
      </c>
      <c r="M121" s="10">
        <v>0</v>
      </c>
      <c r="N121" s="87">
        <v>12.8982290612299</v>
      </c>
      <c r="O121" s="10">
        <v>0</v>
      </c>
      <c r="P121" s="10">
        <v>1</v>
      </c>
      <c r="Q121" s="10">
        <v>0</v>
      </c>
      <c r="R121" s="10"/>
      <c r="S121" s="10">
        <v>3</v>
      </c>
      <c r="T121" s="10">
        <v>1</v>
      </c>
      <c r="U121" s="87">
        <v>12.1689760625368</v>
      </c>
      <c r="V121" s="87">
        <v>0.79233805253912604</v>
      </c>
      <c r="W121" s="10">
        <v>12.669683257918599</v>
      </c>
      <c r="X121" s="10">
        <v>83.257918552036202</v>
      </c>
      <c r="Y121" s="10">
        <v>1</v>
      </c>
      <c r="Z121" s="10">
        <v>49.773755656108598</v>
      </c>
      <c r="AA121" s="10">
        <v>15.454545454545499</v>
      </c>
      <c r="AB121" s="10">
        <v>9.9099099099099099</v>
      </c>
      <c r="AC121" s="10">
        <v>5.08446336322256</v>
      </c>
      <c r="AD121" s="10">
        <v>593</v>
      </c>
      <c r="AE121" s="10">
        <v>600</v>
      </c>
      <c r="AF121" s="10">
        <v>0</v>
      </c>
      <c r="AG121" s="10">
        <v>0.5</v>
      </c>
      <c r="AH121" s="10">
        <v>27</v>
      </c>
      <c r="AI121" s="10">
        <v>2</v>
      </c>
      <c r="AJ121" s="10">
        <v>2</v>
      </c>
      <c r="AK121" s="10">
        <v>58</v>
      </c>
      <c r="AL121" s="10">
        <v>52</v>
      </c>
      <c r="AM121" s="10">
        <v>22.411454160625599</v>
      </c>
      <c r="AN121" s="87">
        <v>33.380516213836401</v>
      </c>
      <c r="AO121" s="87">
        <v>3.7823496359569102</v>
      </c>
      <c r="AP121" s="87">
        <v>56.4909520062943</v>
      </c>
      <c r="AQ121" s="10" t="s">
        <v>25</v>
      </c>
      <c r="AR121" s="10" t="s">
        <v>25</v>
      </c>
      <c r="AS121" s="10" t="s">
        <v>25</v>
      </c>
      <c r="AT121" s="10" t="s">
        <v>25</v>
      </c>
      <c r="AU121" s="10">
        <v>1</v>
      </c>
      <c r="AV121" s="10">
        <v>23</v>
      </c>
      <c r="AW121" s="10">
        <v>0</v>
      </c>
      <c r="AX121" s="10">
        <v>7</v>
      </c>
      <c r="AY121" s="10">
        <v>11</v>
      </c>
      <c r="AZ121" s="10">
        <v>5</v>
      </c>
      <c r="BA121" s="10">
        <v>0</v>
      </c>
      <c r="BC121" s="10">
        <v>92</v>
      </c>
      <c r="BD121" s="7">
        <v>4</v>
      </c>
      <c r="BE121" s="7">
        <v>3</v>
      </c>
      <c r="BF121" s="7">
        <v>0</v>
      </c>
      <c r="BG121" s="7">
        <v>2</v>
      </c>
      <c r="BH121" s="4">
        <v>6.2560536091808903</v>
      </c>
      <c r="BI121" s="105">
        <v>0</v>
      </c>
      <c r="BJ121" s="105">
        <v>1</v>
      </c>
      <c r="BK121" s="105">
        <v>1</v>
      </c>
      <c r="BL121" s="10" t="s">
        <v>245</v>
      </c>
      <c r="BM121" s="10">
        <v>5</v>
      </c>
      <c r="BN121" s="10"/>
      <c r="BO121" s="10">
        <v>2.9173489681248999</v>
      </c>
      <c r="BP121" s="10">
        <v>4.57995237898648</v>
      </c>
      <c r="BQ121" s="10">
        <v>33.5262505167425</v>
      </c>
      <c r="BR121" s="10">
        <v>65.026870607689105</v>
      </c>
      <c r="BS121" s="10">
        <v>5</v>
      </c>
      <c r="BT121" s="10">
        <v>25.961140967341901</v>
      </c>
      <c r="BU121" s="10">
        <v>12.101910828025501</v>
      </c>
      <c r="BV121" s="10">
        <v>41.038525963149098</v>
      </c>
      <c r="BW121" s="10">
        <v>2.9223241710306</v>
      </c>
      <c r="BX121" s="10"/>
      <c r="BY121" s="10"/>
      <c r="BZ121" s="10"/>
      <c r="CA121" s="10"/>
      <c r="CB121" s="10"/>
      <c r="CC121" s="10"/>
      <c r="CD121" s="10"/>
      <c r="CE121" s="10"/>
      <c r="CF121" s="10">
        <v>13.497652582159599</v>
      </c>
      <c r="CG121" s="10">
        <v>72.887323943661997</v>
      </c>
      <c r="CH121" s="10">
        <v>2</v>
      </c>
      <c r="CI121" s="10">
        <v>36.619718309859202</v>
      </c>
      <c r="CJ121" s="10">
        <v>9.2948717948717992</v>
      </c>
      <c r="CK121" s="10">
        <v>15.925925925925901</v>
      </c>
      <c r="CL121" s="10" t="s">
        <v>491</v>
      </c>
      <c r="CM121" s="10" t="s">
        <v>538</v>
      </c>
      <c r="CN121" s="10" t="s">
        <v>539</v>
      </c>
      <c r="CO121" s="10" t="s">
        <v>540</v>
      </c>
      <c r="CP121" s="10"/>
    </row>
    <row r="122" spans="1:94" s="6" customFormat="1">
      <c r="A122" s="25" t="s">
        <v>246</v>
      </c>
      <c r="B122" s="6" t="s">
        <v>41</v>
      </c>
      <c r="C122" s="6" t="s">
        <v>18</v>
      </c>
      <c r="D122" s="41">
        <f t="shared" si="5"/>
        <v>61</v>
      </c>
      <c r="E122" s="12">
        <v>44322</v>
      </c>
      <c r="F122" s="12">
        <v>44383</v>
      </c>
      <c r="G122" s="12"/>
      <c r="H122" s="6">
        <v>4</v>
      </c>
      <c r="I122" s="10">
        <v>3</v>
      </c>
      <c r="J122" s="10">
        <v>0</v>
      </c>
      <c r="K122" s="10">
        <v>0</v>
      </c>
      <c r="L122" s="10">
        <v>0</v>
      </c>
      <c r="M122" s="10">
        <v>0</v>
      </c>
      <c r="N122" s="87">
        <v>9.3421253340092196</v>
      </c>
      <c r="O122" s="10">
        <v>0</v>
      </c>
      <c r="P122" s="10">
        <v>1</v>
      </c>
      <c r="Q122" s="10">
        <v>0</v>
      </c>
      <c r="R122" s="10"/>
      <c r="S122" s="10">
        <v>3</v>
      </c>
      <c r="T122" s="10">
        <v>0</v>
      </c>
      <c r="U122" s="87">
        <v>9.8688539981001195</v>
      </c>
      <c r="V122" s="87">
        <v>0.18360475152603001</v>
      </c>
      <c r="W122" s="10">
        <v>20.3125</v>
      </c>
      <c r="X122" s="10">
        <v>100</v>
      </c>
      <c r="Y122" s="10">
        <v>0</v>
      </c>
      <c r="Z122" s="10">
        <v>82.8125</v>
      </c>
      <c r="AA122" s="10">
        <v>24.528301886792502</v>
      </c>
      <c r="AB122" s="10">
        <v>0</v>
      </c>
      <c r="AC122" s="10">
        <v>6.4682182675756499</v>
      </c>
      <c r="AD122" s="10">
        <v>380</v>
      </c>
      <c r="AE122" s="10">
        <f>6*60+40</f>
        <v>400</v>
      </c>
      <c r="AF122" s="10">
        <v>1</v>
      </c>
      <c r="AG122" s="10">
        <v>3</v>
      </c>
      <c r="AH122" s="10">
        <v>82</v>
      </c>
      <c r="AI122" s="10">
        <v>3</v>
      </c>
      <c r="AJ122" s="10">
        <v>2</v>
      </c>
      <c r="AK122" s="10">
        <v>12</v>
      </c>
      <c r="AL122" s="10">
        <v>28</v>
      </c>
      <c r="AM122" s="10">
        <v>18.288707253354499</v>
      </c>
      <c r="AN122" s="87">
        <v>39.728595121831198</v>
      </c>
      <c r="AO122" s="87">
        <v>4.9016240247029099</v>
      </c>
      <c r="AP122" s="87">
        <v>52.709579501830198</v>
      </c>
      <c r="AQ122" s="10">
        <v>0</v>
      </c>
      <c r="AR122" s="10">
        <v>0</v>
      </c>
      <c r="AS122" s="10">
        <v>3</v>
      </c>
      <c r="AT122" s="10">
        <v>2</v>
      </c>
      <c r="AU122" s="10">
        <v>1</v>
      </c>
      <c r="AV122" s="10">
        <v>46</v>
      </c>
      <c r="AW122" s="10">
        <v>3</v>
      </c>
      <c r="AX122" s="10">
        <v>13</v>
      </c>
      <c r="AY122" s="10">
        <v>9</v>
      </c>
      <c r="AZ122" s="10">
        <v>18</v>
      </c>
      <c r="BA122" s="10">
        <v>3</v>
      </c>
      <c r="BC122" s="10">
        <v>6</v>
      </c>
      <c r="BD122" s="7">
        <v>0</v>
      </c>
      <c r="BE122" s="7">
        <v>0</v>
      </c>
      <c r="BF122" s="7">
        <v>0</v>
      </c>
      <c r="BG122" s="7">
        <v>0</v>
      </c>
      <c r="BH122" s="4">
        <v>6.0018656151504599</v>
      </c>
      <c r="BI122" s="8">
        <v>1</v>
      </c>
      <c r="BJ122" s="8">
        <v>1</v>
      </c>
      <c r="BK122" s="8">
        <v>2</v>
      </c>
      <c r="BL122" s="10" t="s">
        <v>247</v>
      </c>
      <c r="BM122" s="10">
        <v>5</v>
      </c>
      <c r="BN122" s="10"/>
      <c r="BO122" s="10">
        <v>8.8158000935124505</v>
      </c>
      <c r="BP122" s="10">
        <v>0.38876072531144401</v>
      </c>
      <c r="BQ122" s="10">
        <v>16.778523489932901</v>
      </c>
      <c r="BR122" s="10">
        <v>55.704697986577202</v>
      </c>
      <c r="BS122" s="10">
        <v>0</v>
      </c>
      <c r="BT122" s="10">
        <v>78.523489932885894</v>
      </c>
      <c r="BU122" s="10">
        <v>20.5128205128205</v>
      </c>
      <c r="BV122" s="10">
        <v>3.125</v>
      </c>
      <c r="BW122" s="10">
        <v>11.9670197311256</v>
      </c>
      <c r="BX122" s="10"/>
      <c r="BY122" s="10"/>
      <c r="BZ122" s="10"/>
      <c r="CA122" s="10"/>
      <c r="CB122" s="10"/>
      <c r="CC122" s="10"/>
      <c r="CD122" s="10"/>
      <c r="CE122" s="10"/>
      <c r="CF122" s="10" t="s">
        <v>25</v>
      </c>
      <c r="CG122" s="10" t="s">
        <v>25</v>
      </c>
      <c r="CH122" s="10" t="s">
        <v>25</v>
      </c>
      <c r="CI122" s="10" t="s">
        <v>25</v>
      </c>
      <c r="CJ122" s="10" t="s">
        <v>25</v>
      </c>
      <c r="CK122" s="10" t="s">
        <v>25</v>
      </c>
      <c r="CL122" s="10" t="s">
        <v>25</v>
      </c>
      <c r="CM122" s="10" t="s">
        <v>25</v>
      </c>
      <c r="CN122" s="10" t="s">
        <v>25</v>
      </c>
      <c r="CO122" s="10" t="s">
        <v>25</v>
      </c>
      <c r="CP122" s="10"/>
    </row>
    <row r="123" spans="1:94" s="6" customFormat="1">
      <c r="A123" s="25" t="s">
        <v>248</v>
      </c>
      <c r="B123" s="6" t="s">
        <v>17</v>
      </c>
      <c r="C123" s="6" t="s">
        <v>18</v>
      </c>
      <c r="D123" s="41">
        <f t="shared" si="5"/>
        <v>61</v>
      </c>
      <c r="E123" s="12">
        <v>44322</v>
      </c>
      <c r="F123" s="12">
        <v>44383</v>
      </c>
      <c r="G123" s="12"/>
      <c r="H123" s="6">
        <v>4</v>
      </c>
      <c r="I123" s="10">
        <v>4</v>
      </c>
      <c r="J123" s="10">
        <v>0</v>
      </c>
      <c r="K123" s="10">
        <v>0</v>
      </c>
      <c r="L123" s="10">
        <v>0</v>
      </c>
      <c r="M123" s="10">
        <v>0</v>
      </c>
      <c r="N123" s="87">
        <v>6.2739325013877103</v>
      </c>
      <c r="O123" s="10">
        <v>1</v>
      </c>
      <c r="P123" s="10">
        <v>3</v>
      </c>
      <c r="Q123" s="10">
        <v>2</v>
      </c>
      <c r="R123" s="10"/>
      <c r="S123" s="10">
        <v>3</v>
      </c>
      <c r="T123" s="10">
        <v>0</v>
      </c>
      <c r="U123" s="87">
        <v>11.104787125354299</v>
      </c>
      <c r="V123" s="87">
        <v>0.32178865801224799</v>
      </c>
      <c r="W123" s="10">
        <v>18.348623853210999</v>
      </c>
      <c r="X123" s="10">
        <v>97.247706422018396</v>
      </c>
      <c r="Y123" s="10">
        <v>0</v>
      </c>
      <c r="Z123" s="10">
        <v>69.724770642201804</v>
      </c>
      <c r="AA123" s="10">
        <v>10.526315789473699</v>
      </c>
      <c r="AB123" s="10">
        <v>36.363636363636402</v>
      </c>
      <c r="AC123" s="10">
        <v>10.177001053691001</v>
      </c>
      <c r="AD123" s="10">
        <v>6</v>
      </c>
      <c r="AE123" s="10">
        <v>600</v>
      </c>
      <c r="AF123" s="10">
        <v>600</v>
      </c>
      <c r="AG123" s="10">
        <v>600</v>
      </c>
      <c r="AH123" s="10">
        <v>0</v>
      </c>
      <c r="AI123" s="10">
        <v>0</v>
      </c>
      <c r="AJ123" s="10">
        <v>0</v>
      </c>
      <c r="AK123" s="10">
        <v>0</v>
      </c>
      <c r="AL123" s="10">
        <v>1</v>
      </c>
      <c r="AM123" s="10">
        <v>0.56711122061488495</v>
      </c>
      <c r="AN123" s="87">
        <v>25.129192868629101</v>
      </c>
      <c r="AO123" s="87">
        <v>10.4453323094535</v>
      </c>
      <c r="AP123" s="87">
        <v>23.926380368098201</v>
      </c>
      <c r="AQ123" s="10">
        <v>4</v>
      </c>
      <c r="AR123" s="10">
        <v>0</v>
      </c>
      <c r="AS123" s="10">
        <v>3</v>
      </c>
      <c r="AT123" s="10">
        <v>0</v>
      </c>
      <c r="AU123" s="10">
        <v>1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C123" s="10">
        <v>13</v>
      </c>
      <c r="BD123" s="10">
        <v>1</v>
      </c>
      <c r="BE123" s="10">
        <v>1</v>
      </c>
      <c r="BF123" s="10">
        <v>0</v>
      </c>
      <c r="BG123" s="10">
        <v>1</v>
      </c>
      <c r="BH123" s="4">
        <v>5.6545503619506396</v>
      </c>
      <c r="BI123" s="8">
        <v>1</v>
      </c>
      <c r="BJ123" s="8">
        <v>2</v>
      </c>
      <c r="BK123" s="8">
        <v>2</v>
      </c>
      <c r="BL123" s="10" t="s">
        <v>249</v>
      </c>
      <c r="BM123" s="10">
        <v>2</v>
      </c>
      <c r="BN123" s="10"/>
      <c r="BO123" s="10">
        <v>18.426318004050799</v>
      </c>
      <c r="BP123" s="10">
        <v>1.61354996962419</v>
      </c>
      <c r="BQ123" s="10">
        <v>19.0104166666667</v>
      </c>
      <c r="BR123" s="10">
        <v>87.7604166666667</v>
      </c>
      <c r="BS123" s="10">
        <v>0</v>
      </c>
      <c r="BT123" s="10">
        <v>50.78125</v>
      </c>
      <c r="BU123" s="10">
        <v>21.538461538461501</v>
      </c>
      <c r="BV123" s="10">
        <v>16.402116402116398</v>
      </c>
      <c r="BW123" s="10">
        <v>11.521880362075301</v>
      </c>
      <c r="BX123" s="10"/>
      <c r="BY123" s="10"/>
      <c r="BZ123" s="10"/>
      <c r="CA123" s="10"/>
      <c r="CB123" s="10"/>
      <c r="CC123" s="10"/>
      <c r="CD123" s="10"/>
      <c r="CE123" s="10"/>
      <c r="CF123" s="10" t="s">
        <v>25</v>
      </c>
      <c r="CG123" s="10" t="s">
        <v>25</v>
      </c>
      <c r="CH123" s="10" t="s">
        <v>25</v>
      </c>
      <c r="CI123" s="10" t="s">
        <v>25</v>
      </c>
      <c r="CJ123" s="10" t="s">
        <v>25</v>
      </c>
      <c r="CK123" s="10" t="s">
        <v>25</v>
      </c>
      <c r="CL123" s="10" t="s">
        <v>25</v>
      </c>
      <c r="CM123" s="10" t="s">
        <v>25</v>
      </c>
      <c r="CN123" s="10" t="s">
        <v>25</v>
      </c>
      <c r="CO123" s="10" t="s">
        <v>25</v>
      </c>
      <c r="CP123" s="10"/>
    </row>
    <row r="124" spans="1:94" s="6" customFormat="1">
      <c r="A124" s="25" t="s">
        <v>250</v>
      </c>
      <c r="B124" s="6" t="s">
        <v>17</v>
      </c>
      <c r="C124" s="6" t="s">
        <v>18</v>
      </c>
      <c r="D124" s="41">
        <f t="shared" si="5"/>
        <v>61</v>
      </c>
      <c r="E124" s="12">
        <v>44322</v>
      </c>
      <c r="F124" s="12">
        <v>44383</v>
      </c>
      <c r="G124" s="3" t="s">
        <v>587</v>
      </c>
      <c r="H124" s="6">
        <v>5</v>
      </c>
      <c r="I124" s="10">
        <v>14</v>
      </c>
      <c r="J124" s="10">
        <v>1</v>
      </c>
      <c r="K124" s="10">
        <v>0</v>
      </c>
      <c r="L124" s="10">
        <v>0</v>
      </c>
      <c r="M124" s="10">
        <v>1</v>
      </c>
      <c r="N124" s="87">
        <v>10.3276088042011</v>
      </c>
      <c r="O124" s="10">
        <v>2</v>
      </c>
      <c r="P124" s="10">
        <v>3</v>
      </c>
      <c r="Q124" s="10">
        <v>3</v>
      </c>
      <c r="R124" s="10"/>
      <c r="S124" s="10">
        <v>2</v>
      </c>
      <c r="T124" s="10">
        <v>2</v>
      </c>
      <c r="U124" s="87">
        <v>15.588213665702799</v>
      </c>
      <c r="V124" s="87">
        <v>0.93435272027911997</v>
      </c>
      <c r="W124" s="10">
        <v>7.7669902912621396</v>
      </c>
      <c r="X124" s="10">
        <v>82.038834951456295</v>
      </c>
      <c r="Y124" s="10">
        <v>0</v>
      </c>
      <c r="Z124" s="10">
        <v>47.572815533980602</v>
      </c>
      <c r="AA124" s="10">
        <v>13.265306122448999</v>
      </c>
      <c r="AB124" s="10">
        <v>2.7777777777777799</v>
      </c>
      <c r="AC124" s="10">
        <v>10.2007790145319</v>
      </c>
      <c r="AD124" s="10">
        <v>170</v>
      </c>
      <c r="AE124" s="10">
        <f>3*60+30</f>
        <v>210</v>
      </c>
      <c r="AF124" s="10">
        <v>15</v>
      </c>
      <c r="AG124" s="10">
        <v>15</v>
      </c>
      <c r="AH124" s="10">
        <v>0</v>
      </c>
      <c r="AI124" s="10">
        <v>0</v>
      </c>
      <c r="AJ124" s="10">
        <v>1</v>
      </c>
      <c r="AK124" s="10">
        <v>3</v>
      </c>
      <c r="AL124" s="10">
        <v>21</v>
      </c>
      <c r="AM124" s="10">
        <v>11.8201535986947</v>
      </c>
      <c r="AN124" s="87">
        <v>34.332828559524401</v>
      </c>
      <c r="AO124" s="87">
        <v>6.4886181115447403</v>
      </c>
      <c r="AP124" s="87">
        <v>32.7482172243555</v>
      </c>
      <c r="AQ124" s="10">
        <v>1</v>
      </c>
      <c r="AR124" s="10">
        <v>1</v>
      </c>
      <c r="AS124" s="10">
        <v>2</v>
      </c>
      <c r="AT124" s="10">
        <v>0</v>
      </c>
      <c r="AU124" s="10">
        <v>2</v>
      </c>
      <c r="AV124" s="10">
        <v>4</v>
      </c>
      <c r="AW124" s="10">
        <v>1</v>
      </c>
      <c r="AX124" s="10">
        <v>1</v>
      </c>
      <c r="AY124" s="10">
        <v>1</v>
      </c>
      <c r="AZ124" s="10">
        <v>1</v>
      </c>
      <c r="BA124" s="10">
        <v>0</v>
      </c>
      <c r="BC124" s="10">
        <v>5</v>
      </c>
      <c r="BD124" s="10">
        <v>0</v>
      </c>
      <c r="BE124" s="10">
        <v>0</v>
      </c>
      <c r="BF124" s="10">
        <v>0</v>
      </c>
      <c r="BG124" s="10">
        <v>0</v>
      </c>
      <c r="BH124" s="4">
        <v>14.641492503167701</v>
      </c>
      <c r="BI124" s="8">
        <v>1</v>
      </c>
      <c r="BJ124" s="8">
        <v>1</v>
      </c>
      <c r="BK124" s="8">
        <v>2</v>
      </c>
      <c r="BL124" s="10" t="s">
        <v>251</v>
      </c>
      <c r="BM124" s="10">
        <v>5</v>
      </c>
      <c r="BN124" s="10"/>
      <c r="BO124" s="10">
        <v>16.765304436132499</v>
      </c>
      <c r="BP124" s="10">
        <v>0.74988354874511898</v>
      </c>
      <c r="BQ124" s="10">
        <v>0.69444444444444398</v>
      </c>
      <c r="BR124" s="10">
        <v>82.6388888888889</v>
      </c>
      <c r="BS124" s="10">
        <v>1</v>
      </c>
      <c r="BT124" s="10">
        <v>31.25</v>
      </c>
      <c r="BU124" s="10">
        <v>0</v>
      </c>
      <c r="BV124" s="10">
        <v>1.0101010101010099</v>
      </c>
      <c r="BW124" s="10">
        <v>13.2346906231893</v>
      </c>
      <c r="BX124" s="10"/>
      <c r="BY124" s="10"/>
      <c r="BZ124" s="10"/>
      <c r="CA124" s="10"/>
      <c r="CB124" s="10"/>
      <c r="CC124" s="10"/>
      <c r="CD124" s="10"/>
      <c r="CE124" s="10"/>
      <c r="CF124" s="10" t="s">
        <v>25</v>
      </c>
      <c r="CG124" s="10" t="s">
        <v>25</v>
      </c>
      <c r="CH124" s="10" t="s">
        <v>25</v>
      </c>
      <c r="CI124" s="10" t="s">
        <v>25</v>
      </c>
      <c r="CJ124" s="10" t="s">
        <v>25</v>
      </c>
      <c r="CK124" s="10" t="s">
        <v>25</v>
      </c>
      <c r="CL124" s="10" t="s">
        <v>25</v>
      </c>
      <c r="CM124" s="10" t="s">
        <v>25</v>
      </c>
      <c r="CN124" s="10" t="s">
        <v>25</v>
      </c>
      <c r="CO124" s="10" t="s">
        <v>25</v>
      </c>
      <c r="CP124" s="10"/>
    </row>
    <row r="125" spans="1:94" s="6" customFormat="1">
      <c r="A125" s="25" t="s">
        <v>252</v>
      </c>
      <c r="B125" s="6" t="s">
        <v>41</v>
      </c>
      <c r="C125" s="6" t="s">
        <v>18</v>
      </c>
      <c r="D125" s="27">
        <f t="shared" si="5"/>
        <v>55</v>
      </c>
      <c r="E125" s="29">
        <v>44294</v>
      </c>
      <c r="F125" s="29">
        <v>44349</v>
      </c>
      <c r="G125" s="3" t="s">
        <v>587</v>
      </c>
      <c r="H125" s="6">
        <v>5</v>
      </c>
      <c r="I125" s="10">
        <v>3</v>
      </c>
      <c r="J125" s="10">
        <v>0</v>
      </c>
      <c r="K125" s="10">
        <v>0</v>
      </c>
      <c r="L125" s="10">
        <v>0</v>
      </c>
      <c r="M125" s="10">
        <v>0</v>
      </c>
      <c r="N125" s="87">
        <v>12.3796201033818</v>
      </c>
      <c r="O125" s="10">
        <v>0</v>
      </c>
      <c r="P125" s="10">
        <v>1</v>
      </c>
      <c r="Q125" s="10">
        <v>0</v>
      </c>
      <c r="R125" s="10"/>
      <c r="S125" s="10">
        <v>3</v>
      </c>
      <c r="T125" s="10">
        <v>0</v>
      </c>
      <c r="U125" s="10">
        <v>8.7654404082770601</v>
      </c>
      <c r="V125" s="10">
        <v>0.41020921404521898</v>
      </c>
      <c r="W125" s="10">
        <v>7.5</v>
      </c>
      <c r="X125" s="10">
        <v>100</v>
      </c>
      <c r="Y125" s="10">
        <v>0</v>
      </c>
      <c r="Z125" s="10">
        <v>29.1666666666667</v>
      </c>
      <c r="AA125" s="10">
        <v>8.5714285714285694</v>
      </c>
      <c r="AB125" s="10">
        <v>7.0588235294117601</v>
      </c>
      <c r="AC125" s="10">
        <v>5.2713844648526704</v>
      </c>
      <c r="AD125" s="10">
        <v>4</v>
      </c>
      <c r="AE125" s="10">
        <v>13</v>
      </c>
      <c r="AF125" s="10">
        <v>1</v>
      </c>
      <c r="AG125" s="10">
        <v>1</v>
      </c>
      <c r="AH125" s="10">
        <v>1</v>
      </c>
      <c r="AI125" s="10">
        <v>0</v>
      </c>
      <c r="AJ125" s="10">
        <v>0</v>
      </c>
      <c r="AK125" s="10">
        <v>0</v>
      </c>
      <c r="AL125" s="10">
        <v>0</v>
      </c>
      <c r="AM125" s="10">
        <v>8.4821886023704204E-2</v>
      </c>
      <c r="AN125" s="10">
        <v>9.4311091441314296</v>
      </c>
      <c r="AO125" s="10">
        <v>2.1221307552037398</v>
      </c>
      <c r="AP125" s="10">
        <v>65</v>
      </c>
      <c r="AQ125" s="10">
        <v>0</v>
      </c>
      <c r="AR125" s="10">
        <v>0</v>
      </c>
      <c r="AS125" s="10">
        <v>5</v>
      </c>
      <c r="AT125" s="10">
        <v>0</v>
      </c>
      <c r="AU125" s="10">
        <v>1</v>
      </c>
      <c r="AV125" s="10">
        <v>1</v>
      </c>
      <c r="AW125" s="10">
        <v>0</v>
      </c>
      <c r="AX125" s="10">
        <v>0</v>
      </c>
      <c r="AY125" s="10">
        <v>1</v>
      </c>
      <c r="AZ125" s="10">
        <v>0</v>
      </c>
      <c r="BA125" s="10">
        <v>0</v>
      </c>
      <c r="BC125" s="10">
        <v>7</v>
      </c>
      <c r="BD125" s="10">
        <v>0</v>
      </c>
      <c r="BE125" s="10">
        <v>0</v>
      </c>
      <c r="BF125" s="10">
        <v>0</v>
      </c>
      <c r="BG125" s="10">
        <v>0</v>
      </c>
      <c r="BH125" s="4">
        <v>11.215297973437099</v>
      </c>
      <c r="BI125" s="8">
        <v>0</v>
      </c>
      <c r="BJ125" s="8">
        <v>1</v>
      </c>
      <c r="BK125" s="8">
        <v>0</v>
      </c>
      <c r="BL125" s="10" t="s">
        <v>253</v>
      </c>
      <c r="BM125" s="10">
        <v>7</v>
      </c>
      <c r="BN125" s="10"/>
      <c r="BO125" s="10">
        <v>14.210193715187501</v>
      </c>
      <c r="BP125" s="10">
        <v>0.26969703012555502</v>
      </c>
      <c r="BQ125" s="10">
        <v>15.789473684210501</v>
      </c>
      <c r="BR125" s="10">
        <v>100</v>
      </c>
      <c r="BS125" s="10">
        <v>0</v>
      </c>
      <c r="BT125" s="10">
        <v>60.526315789473699</v>
      </c>
      <c r="BU125" s="10">
        <v>26.086956521739101</v>
      </c>
      <c r="BV125" s="10">
        <v>0</v>
      </c>
      <c r="BW125" s="10">
        <v>13.3118800505904</v>
      </c>
      <c r="BX125" s="10"/>
      <c r="BY125" s="10"/>
      <c r="BZ125" s="10"/>
      <c r="CA125" s="10"/>
      <c r="CB125" s="10"/>
      <c r="CC125" s="10"/>
      <c r="CD125" s="10"/>
      <c r="CE125" s="10"/>
      <c r="CF125" s="10" t="s">
        <v>25</v>
      </c>
      <c r="CG125" s="10" t="s">
        <v>25</v>
      </c>
      <c r="CH125" s="10" t="s">
        <v>25</v>
      </c>
      <c r="CI125" s="10" t="s">
        <v>25</v>
      </c>
      <c r="CJ125" s="10" t="s">
        <v>25</v>
      </c>
      <c r="CK125" s="10" t="s">
        <v>25</v>
      </c>
      <c r="CL125" s="10" t="s">
        <v>25</v>
      </c>
      <c r="CM125" s="10" t="s">
        <v>25</v>
      </c>
      <c r="CN125" s="10" t="s">
        <v>25</v>
      </c>
      <c r="CO125" s="10" t="s">
        <v>25</v>
      </c>
      <c r="CP125" s="10"/>
    </row>
    <row r="126" spans="1:94" ht="26">
      <c r="A126" s="32"/>
      <c r="B126" s="33"/>
      <c r="C126" s="33"/>
      <c r="D126" s="34"/>
      <c r="E126" s="35" t="s">
        <v>254</v>
      </c>
      <c r="F126" s="33"/>
      <c r="G126" s="33"/>
      <c r="H126" s="36"/>
      <c r="BC126" s="96"/>
      <c r="BD126" s="96"/>
      <c r="BE126" s="96"/>
      <c r="BF126" s="96"/>
      <c r="BG126" s="96"/>
      <c r="BH126" s="97"/>
      <c r="BI126" s="98"/>
      <c r="BJ126" s="98"/>
      <c r="BK126" s="98"/>
      <c r="BN126" s="96"/>
      <c r="BT126" s="39"/>
      <c r="BU126" s="39"/>
    </row>
    <row r="127" spans="1:94">
      <c r="A127" s="46" t="s">
        <v>255</v>
      </c>
      <c r="B127" s="14" t="s">
        <v>17</v>
      </c>
      <c r="C127" s="14" t="s">
        <v>134</v>
      </c>
      <c r="D127" s="15">
        <f t="shared" ref="D127:D132" si="6">F127-E127</f>
        <v>63</v>
      </c>
      <c r="E127" s="16">
        <v>43589</v>
      </c>
      <c r="F127" s="16">
        <v>43652</v>
      </c>
      <c r="G127" s="16"/>
      <c r="H127" s="14">
        <v>1</v>
      </c>
      <c r="BC127" s="45">
        <v>353</v>
      </c>
      <c r="BD127" s="45">
        <v>8</v>
      </c>
      <c r="BE127" s="45">
        <v>8</v>
      </c>
      <c r="BF127" s="45">
        <v>0</v>
      </c>
      <c r="BG127" s="45">
        <v>1</v>
      </c>
      <c r="BH127" s="30">
        <v>6.4176000000000002</v>
      </c>
      <c r="BI127" s="45">
        <v>0</v>
      </c>
      <c r="BJ127" s="45">
        <v>1</v>
      </c>
      <c r="BK127" s="45">
        <v>0</v>
      </c>
      <c r="BL127" s="45" t="s">
        <v>257</v>
      </c>
      <c r="BM127" s="45"/>
      <c r="BN127" s="45">
        <v>8</v>
      </c>
      <c r="BO127" s="45"/>
      <c r="BP127" s="45"/>
      <c r="BQ127" s="45"/>
      <c r="BR127" s="45"/>
      <c r="BS127" s="45"/>
      <c r="BT127" s="45" t="s">
        <v>256</v>
      </c>
      <c r="BU127" s="45"/>
    </row>
    <row r="128" spans="1:94">
      <c r="A128" s="46" t="s">
        <v>258</v>
      </c>
      <c r="B128" s="14" t="s">
        <v>17</v>
      </c>
      <c r="C128" s="14" t="s">
        <v>134</v>
      </c>
      <c r="D128" s="15">
        <f t="shared" si="6"/>
        <v>64</v>
      </c>
      <c r="E128" s="16">
        <v>43589</v>
      </c>
      <c r="F128" s="16">
        <v>43653</v>
      </c>
      <c r="G128" s="16"/>
      <c r="H128" s="14">
        <v>1</v>
      </c>
      <c r="BC128" s="45">
        <v>498</v>
      </c>
      <c r="BD128" s="45">
        <v>19</v>
      </c>
      <c r="BE128" s="45">
        <v>16</v>
      </c>
      <c r="BF128" s="45">
        <v>5</v>
      </c>
      <c r="BG128" s="45">
        <v>7</v>
      </c>
      <c r="BH128" s="30">
        <v>3.4392</v>
      </c>
      <c r="BI128" s="45">
        <v>3</v>
      </c>
      <c r="BJ128" s="45">
        <v>3</v>
      </c>
      <c r="BK128" s="45">
        <v>3</v>
      </c>
      <c r="BL128" s="45" t="s">
        <v>259</v>
      </c>
      <c r="BM128" s="45"/>
      <c r="BN128" s="45">
        <v>26</v>
      </c>
      <c r="BO128" s="45"/>
      <c r="BP128" s="45"/>
      <c r="BQ128" s="45"/>
      <c r="BR128" s="45"/>
      <c r="BS128" s="45"/>
      <c r="BT128" s="45"/>
      <c r="BU128" s="45"/>
    </row>
    <row r="129" spans="1:73">
      <c r="A129" s="46" t="s">
        <v>260</v>
      </c>
      <c r="B129" s="14" t="s">
        <v>41</v>
      </c>
      <c r="C129" s="14" t="s">
        <v>70</v>
      </c>
      <c r="D129" s="15">
        <f t="shared" si="6"/>
        <v>64</v>
      </c>
      <c r="E129" s="16">
        <v>43600</v>
      </c>
      <c r="F129" s="16">
        <v>43664</v>
      </c>
      <c r="G129" s="16"/>
      <c r="H129" s="14">
        <v>1</v>
      </c>
      <c r="BC129" s="45">
        <v>600</v>
      </c>
      <c r="BD129" s="45">
        <v>19</v>
      </c>
      <c r="BE129" s="45">
        <v>22</v>
      </c>
      <c r="BF129" s="45">
        <v>0</v>
      </c>
      <c r="BG129" s="45">
        <v>0</v>
      </c>
      <c r="BH129" s="30" t="s">
        <v>25</v>
      </c>
      <c r="BI129" s="45">
        <v>5</v>
      </c>
      <c r="BJ129" s="45">
        <v>5</v>
      </c>
      <c r="BK129" s="45">
        <v>5</v>
      </c>
      <c r="BL129" s="45" t="s">
        <v>261</v>
      </c>
      <c r="BM129" s="45"/>
      <c r="BN129" s="45">
        <v>22</v>
      </c>
      <c r="BO129" s="45"/>
      <c r="BP129" s="45"/>
      <c r="BQ129" s="45"/>
      <c r="BR129" s="45"/>
      <c r="BS129" s="45"/>
      <c r="BT129" s="45"/>
      <c r="BU129" s="45"/>
    </row>
    <row r="130" spans="1:73">
      <c r="A130" s="13" t="s">
        <v>262</v>
      </c>
      <c r="B130" s="14" t="s">
        <v>17</v>
      </c>
      <c r="C130" s="14" t="s">
        <v>70</v>
      </c>
      <c r="D130" s="15">
        <f t="shared" si="6"/>
        <v>66</v>
      </c>
      <c r="E130" s="16">
        <v>43571</v>
      </c>
      <c r="F130" s="16">
        <v>43637</v>
      </c>
      <c r="G130" s="16"/>
      <c r="H130" s="14">
        <v>1</v>
      </c>
      <c r="BC130" s="45">
        <v>373</v>
      </c>
      <c r="BD130" s="45">
        <v>16</v>
      </c>
      <c r="BE130" s="45">
        <v>12</v>
      </c>
      <c r="BF130" s="45">
        <v>0</v>
      </c>
      <c r="BG130" s="45">
        <v>6</v>
      </c>
      <c r="BH130" s="30">
        <v>3.8826000000000001</v>
      </c>
      <c r="BI130" s="45">
        <v>0</v>
      </c>
      <c r="BJ130" s="45">
        <v>1</v>
      </c>
      <c r="BK130" s="45">
        <v>0</v>
      </c>
      <c r="BL130" s="45" t="s">
        <v>263</v>
      </c>
      <c r="BM130" s="45"/>
      <c r="BN130" s="45">
        <v>20</v>
      </c>
      <c r="BO130" s="45"/>
      <c r="BP130" s="45"/>
      <c r="BQ130" s="45"/>
      <c r="BR130" s="45"/>
      <c r="BS130" s="45"/>
      <c r="BT130" s="45"/>
      <c r="BU130" s="45"/>
    </row>
    <row r="131" spans="1:73">
      <c r="A131" s="46" t="s">
        <v>264</v>
      </c>
      <c r="B131" s="14" t="s">
        <v>17</v>
      </c>
      <c r="C131" s="14" t="s">
        <v>70</v>
      </c>
      <c r="D131" s="15">
        <f t="shared" si="6"/>
        <v>64</v>
      </c>
      <c r="E131" s="16">
        <v>43571</v>
      </c>
      <c r="F131" s="16">
        <v>43635</v>
      </c>
      <c r="G131" s="16"/>
      <c r="H131" s="14">
        <v>1</v>
      </c>
      <c r="BC131" s="45">
        <f>33-7</f>
        <v>26</v>
      </c>
      <c r="BD131" s="45">
        <v>3</v>
      </c>
      <c r="BE131" s="45">
        <v>2</v>
      </c>
      <c r="BF131" s="45">
        <v>0</v>
      </c>
      <c r="BG131" s="45">
        <v>0</v>
      </c>
      <c r="BH131" s="30">
        <v>10.5</v>
      </c>
      <c r="BI131" s="68">
        <v>3</v>
      </c>
      <c r="BJ131" s="68">
        <v>3</v>
      </c>
      <c r="BK131" s="68">
        <v>2</v>
      </c>
      <c r="BL131" s="45" t="s">
        <v>265</v>
      </c>
      <c r="BM131" s="45"/>
      <c r="BN131" s="45">
        <v>3</v>
      </c>
      <c r="BO131" s="45"/>
      <c r="BP131" s="45"/>
      <c r="BQ131" s="45"/>
      <c r="BR131" s="45"/>
      <c r="BS131" s="45"/>
      <c r="BT131" s="45"/>
      <c r="BU131" s="45"/>
    </row>
    <row r="132" spans="1:73">
      <c r="A132" s="13" t="s">
        <v>266</v>
      </c>
      <c r="B132" s="14" t="s">
        <v>41</v>
      </c>
      <c r="C132" s="14" t="s">
        <v>70</v>
      </c>
      <c r="D132" s="15">
        <f t="shared" si="6"/>
        <v>62</v>
      </c>
      <c r="E132" s="16">
        <v>43600</v>
      </c>
      <c r="F132" s="16">
        <v>43662</v>
      </c>
      <c r="G132" s="16"/>
      <c r="H132" s="14">
        <v>1</v>
      </c>
      <c r="BC132" s="45">
        <v>487</v>
      </c>
      <c r="BD132" s="45">
        <v>13</v>
      </c>
      <c r="BE132" s="45">
        <v>10</v>
      </c>
      <c r="BF132" s="45">
        <v>0</v>
      </c>
      <c r="BG132" s="45">
        <v>10</v>
      </c>
      <c r="BH132" s="30">
        <v>2.7679999999999998</v>
      </c>
      <c r="BI132" s="68">
        <v>3</v>
      </c>
      <c r="BJ132" s="68">
        <v>3</v>
      </c>
      <c r="BK132" s="68">
        <v>3</v>
      </c>
      <c r="BL132" s="45" t="s">
        <v>267</v>
      </c>
      <c r="BM132" s="45"/>
      <c r="BN132" s="45">
        <v>21</v>
      </c>
      <c r="BO132" s="45"/>
      <c r="BP132" s="45"/>
      <c r="BQ132" s="45"/>
      <c r="BR132" s="45"/>
      <c r="BS132" s="45"/>
      <c r="BT132" s="45"/>
      <c r="BU132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F082-1347-C24C-8D33-344B807639A3}">
  <dimension ref="A1:CL55"/>
  <sheetViews>
    <sheetView workbookViewId="0">
      <selection activeCell="G39" sqref="G39"/>
    </sheetView>
  </sheetViews>
  <sheetFormatPr baseColWidth="10" defaultRowHeight="16"/>
  <cols>
    <col min="2" max="3" width="10.83203125" style="160"/>
    <col min="4" max="4" width="7.83203125" customWidth="1"/>
    <col min="7" max="7" width="10.83203125" style="159"/>
  </cols>
  <sheetData>
    <row r="1" spans="1:90" ht="21">
      <c r="A1" s="40" t="s">
        <v>1422</v>
      </c>
      <c r="B1" s="176"/>
      <c r="C1" s="176" t="s">
        <v>1423</v>
      </c>
      <c r="D1" s="40"/>
      <c r="E1" s="40"/>
      <c r="F1" s="40"/>
      <c r="G1" s="283"/>
      <c r="H1" s="40"/>
      <c r="I1" s="165" t="s">
        <v>268</v>
      </c>
      <c r="J1" s="38"/>
      <c r="K1" s="38"/>
      <c r="L1" s="38"/>
      <c r="M1" s="38"/>
      <c r="N1" s="38"/>
      <c r="O1" s="38"/>
      <c r="P1" s="38"/>
      <c r="Q1" s="38"/>
      <c r="R1" s="38"/>
      <c r="S1" s="165"/>
      <c r="T1" s="38"/>
      <c r="U1" s="163" t="s">
        <v>787</v>
      </c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3" t="s">
        <v>786</v>
      </c>
      <c r="AG1" s="164"/>
      <c r="AH1" s="164"/>
      <c r="AI1" s="164"/>
      <c r="AJ1" s="164"/>
      <c r="AK1" s="164"/>
      <c r="AL1" s="164"/>
      <c r="AM1" s="164"/>
      <c r="AN1" s="164"/>
      <c r="AO1" s="164"/>
      <c r="AP1" s="40"/>
      <c r="AQ1" s="40"/>
      <c r="AR1" s="40"/>
      <c r="AS1" s="40"/>
      <c r="AT1" s="166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</row>
    <row r="2" spans="1:90" ht="21">
      <c r="A2" s="40"/>
      <c r="B2" s="176"/>
      <c r="C2" s="176"/>
      <c r="D2" s="40"/>
      <c r="E2" s="40"/>
      <c r="F2" s="40"/>
      <c r="G2" s="283"/>
      <c r="H2" s="40"/>
      <c r="I2" s="61" t="s">
        <v>270</v>
      </c>
      <c r="J2" s="88"/>
      <c r="K2" s="88"/>
      <c r="L2" s="88"/>
      <c r="M2" s="88"/>
      <c r="N2" s="88"/>
      <c r="O2" s="88"/>
      <c r="P2" s="88"/>
      <c r="Q2" s="88"/>
      <c r="R2" s="61"/>
      <c r="S2" s="89"/>
      <c r="T2" s="166"/>
      <c r="U2" s="61" t="s">
        <v>270</v>
      </c>
      <c r="V2" s="88"/>
      <c r="W2" s="88"/>
      <c r="X2" s="88"/>
      <c r="Y2" s="88"/>
      <c r="Z2" s="88"/>
      <c r="AA2" s="88"/>
      <c r="AB2" s="88"/>
      <c r="AC2" s="88"/>
      <c r="AD2" s="61"/>
      <c r="AE2" s="166"/>
      <c r="AF2" s="61" t="s">
        <v>270</v>
      </c>
      <c r="AG2" s="88"/>
      <c r="AH2" s="88"/>
      <c r="AI2" s="88"/>
      <c r="AJ2" s="88"/>
      <c r="AK2" s="88"/>
      <c r="AL2" s="88"/>
      <c r="AM2" s="88"/>
      <c r="AN2" s="88"/>
      <c r="AO2" s="61"/>
      <c r="AP2" s="40"/>
      <c r="AQ2" s="40"/>
      <c r="AR2" s="40"/>
      <c r="AS2" s="40"/>
      <c r="AT2" s="166"/>
      <c r="AU2" s="89"/>
      <c r="AV2" s="89"/>
      <c r="AW2" s="89"/>
      <c r="AX2" s="89"/>
      <c r="AY2" s="89"/>
      <c r="AZ2" s="89"/>
      <c r="BA2" s="89"/>
      <c r="BB2" s="89"/>
      <c r="BC2" s="89"/>
      <c r="BD2" s="166"/>
      <c r="BE2" s="89"/>
      <c r="BF2" s="89"/>
      <c r="BG2" s="89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</row>
    <row r="3" spans="1:90" s="24" customFormat="1">
      <c r="A3" s="167" t="s">
        <v>0</v>
      </c>
      <c r="B3" s="168" t="s">
        <v>592</v>
      </c>
      <c r="C3" s="168" t="s">
        <v>2</v>
      </c>
      <c r="D3" s="168" t="s">
        <v>3</v>
      </c>
      <c r="E3" s="169" t="s">
        <v>4</v>
      </c>
      <c r="F3" s="169" t="s">
        <v>5</v>
      </c>
      <c r="G3" s="169" t="s">
        <v>584</v>
      </c>
      <c r="H3" s="168" t="s">
        <v>15</v>
      </c>
      <c r="I3" s="168" t="s">
        <v>774</v>
      </c>
      <c r="J3" s="168" t="s">
        <v>775</v>
      </c>
      <c r="K3" s="168" t="s">
        <v>777</v>
      </c>
      <c r="L3" s="168" t="s">
        <v>778</v>
      </c>
      <c r="M3" s="168" t="s">
        <v>779</v>
      </c>
      <c r="N3" s="170" t="s">
        <v>780</v>
      </c>
      <c r="O3" s="171" t="s">
        <v>781</v>
      </c>
      <c r="P3" s="171" t="s">
        <v>782</v>
      </c>
      <c r="Q3" s="171" t="s">
        <v>783</v>
      </c>
      <c r="R3" s="172" t="s">
        <v>272</v>
      </c>
      <c r="S3" s="172" t="s">
        <v>785</v>
      </c>
      <c r="T3" s="172" t="s">
        <v>784</v>
      </c>
      <c r="U3" s="168" t="s">
        <v>774</v>
      </c>
      <c r="V3" s="168" t="s">
        <v>775</v>
      </c>
      <c r="W3" s="168" t="s">
        <v>777</v>
      </c>
      <c r="X3" s="168" t="s">
        <v>778</v>
      </c>
      <c r="Y3" s="168" t="s">
        <v>779</v>
      </c>
      <c r="Z3" s="170" t="s">
        <v>780</v>
      </c>
      <c r="AA3" s="171" t="s">
        <v>781</v>
      </c>
      <c r="AB3" s="171" t="s">
        <v>782</v>
      </c>
      <c r="AC3" s="171" t="s">
        <v>783</v>
      </c>
      <c r="AD3" s="172" t="s">
        <v>272</v>
      </c>
      <c r="AE3" s="172" t="s">
        <v>785</v>
      </c>
      <c r="AF3" s="168" t="s">
        <v>774</v>
      </c>
      <c r="AG3" s="168" t="s">
        <v>775</v>
      </c>
      <c r="AH3" s="168" t="s">
        <v>777</v>
      </c>
      <c r="AI3" s="168" t="s">
        <v>778</v>
      </c>
      <c r="AJ3" s="168" t="s">
        <v>779</v>
      </c>
      <c r="AK3" s="170" t="s">
        <v>780</v>
      </c>
      <c r="AL3" s="171" t="s">
        <v>781</v>
      </c>
      <c r="AM3" s="171" t="s">
        <v>782</v>
      </c>
      <c r="AN3" s="171" t="s">
        <v>783</v>
      </c>
      <c r="AO3" s="172" t="s">
        <v>272</v>
      </c>
    </row>
    <row r="4" spans="1:90" s="40" customFormat="1">
      <c r="A4" s="90" t="s">
        <v>593</v>
      </c>
      <c r="B4" s="90" t="s">
        <v>17</v>
      </c>
      <c r="C4" s="90" t="s">
        <v>772</v>
      </c>
      <c r="D4" s="45">
        <f t="shared" ref="D4:D28" si="0">F4-E4</f>
        <v>50</v>
      </c>
      <c r="E4" s="67">
        <v>44581</v>
      </c>
      <c r="F4" s="67">
        <v>44631</v>
      </c>
      <c r="G4" s="67" t="s">
        <v>1420</v>
      </c>
      <c r="H4" s="45">
        <v>0</v>
      </c>
      <c r="I4" s="45">
        <f>42-5</f>
        <v>37</v>
      </c>
      <c r="J4" s="45">
        <v>1</v>
      </c>
      <c r="K4" s="45">
        <v>0</v>
      </c>
      <c r="L4" s="45">
        <v>0</v>
      </c>
      <c r="M4" s="45">
        <v>1</v>
      </c>
      <c r="N4" s="60">
        <v>4.3135511313140498</v>
      </c>
      <c r="O4" s="45">
        <v>0</v>
      </c>
      <c r="P4" s="45">
        <v>3</v>
      </c>
      <c r="Q4" s="45">
        <v>1</v>
      </c>
      <c r="R4" s="45" t="s">
        <v>595</v>
      </c>
      <c r="S4" s="45">
        <v>277</v>
      </c>
      <c r="T4" s="45">
        <v>31</v>
      </c>
      <c r="U4" s="45">
        <f>8*60+40</f>
        <v>520</v>
      </c>
      <c r="V4" s="23">
        <v>9</v>
      </c>
      <c r="W4" s="23">
        <v>7</v>
      </c>
      <c r="X4" s="23">
        <v>0</v>
      </c>
      <c r="Y4" s="23">
        <v>4</v>
      </c>
      <c r="Z4" s="60">
        <v>2.2372720590859601</v>
      </c>
      <c r="AA4" s="68">
        <v>3</v>
      </c>
      <c r="AB4" s="68">
        <v>3</v>
      </c>
      <c r="AC4" s="68">
        <v>2</v>
      </c>
      <c r="AD4" s="45" t="s">
        <v>594</v>
      </c>
      <c r="AE4" s="45">
        <v>76</v>
      </c>
      <c r="AF4" s="45">
        <v>190</v>
      </c>
      <c r="AG4" s="23">
        <v>2</v>
      </c>
      <c r="AH4" s="23">
        <v>2</v>
      </c>
      <c r="AI4" s="23">
        <v>0</v>
      </c>
      <c r="AJ4" s="23">
        <v>1</v>
      </c>
      <c r="AK4" s="60">
        <v>6.4366543031150396</v>
      </c>
      <c r="AL4" s="45">
        <v>2</v>
      </c>
      <c r="AM4" s="45">
        <v>2</v>
      </c>
      <c r="AN4" s="45">
        <v>1</v>
      </c>
      <c r="AO4" s="60" t="s">
        <v>596</v>
      </c>
    </row>
    <row r="5" spans="1:90" s="40" customFormat="1">
      <c r="A5" s="90" t="s">
        <v>597</v>
      </c>
      <c r="B5" s="90" t="s">
        <v>17</v>
      </c>
      <c r="C5" s="90" t="s">
        <v>772</v>
      </c>
      <c r="D5" s="45">
        <f t="shared" si="0"/>
        <v>71</v>
      </c>
      <c r="E5" s="67">
        <v>44624</v>
      </c>
      <c r="F5" s="177">
        <v>44695</v>
      </c>
      <c r="G5" s="67" t="s">
        <v>1421</v>
      </c>
      <c r="H5" s="45">
        <v>0</v>
      </c>
      <c r="I5" s="45">
        <f>34-8</f>
        <v>26</v>
      </c>
      <c r="J5" s="45">
        <v>0</v>
      </c>
      <c r="K5" s="45">
        <v>0</v>
      </c>
      <c r="L5" s="45">
        <v>0</v>
      </c>
      <c r="M5" s="45">
        <v>0</v>
      </c>
      <c r="N5" s="60">
        <v>2.8824956567507698</v>
      </c>
      <c r="O5" s="45">
        <v>2</v>
      </c>
      <c r="P5" s="45">
        <v>3</v>
      </c>
      <c r="Q5" s="45">
        <v>1</v>
      </c>
      <c r="R5" s="45" t="s">
        <v>599</v>
      </c>
      <c r="S5" s="45">
        <f>51-34</f>
        <v>17</v>
      </c>
      <c r="T5" s="45">
        <v>8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60">
        <v>9.8786428693608901</v>
      </c>
      <c r="AA5" s="68">
        <v>0</v>
      </c>
      <c r="AB5" s="68">
        <v>1</v>
      </c>
      <c r="AC5" s="68">
        <v>1</v>
      </c>
      <c r="AD5" s="45" t="s">
        <v>598</v>
      </c>
      <c r="AE5" s="45">
        <v>11</v>
      </c>
      <c r="AF5" s="45">
        <v>11</v>
      </c>
      <c r="AG5" s="45">
        <v>2</v>
      </c>
      <c r="AH5" s="45">
        <v>1</v>
      </c>
      <c r="AI5" s="45">
        <v>0</v>
      </c>
      <c r="AJ5" s="45">
        <v>0</v>
      </c>
      <c r="AK5" s="60">
        <v>10.390118763941899</v>
      </c>
      <c r="AL5" s="45">
        <v>0</v>
      </c>
      <c r="AM5" s="45">
        <v>2</v>
      </c>
      <c r="AN5" s="45">
        <v>0</v>
      </c>
      <c r="AO5" s="60" t="s">
        <v>600</v>
      </c>
    </row>
    <row r="6" spans="1:90" s="40" customFormat="1">
      <c r="A6" s="31" t="s">
        <v>601</v>
      </c>
      <c r="B6" s="31" t="s">
        <v>17</v>
      </c>
      <c r="C6" s="31" t="s">
        <v>773</v>
      </c>
      <c r="D6" s="10">
        <f t="shared" si="0"/>
        <v>57</v>
      </c>
      <c r="E6" s="22">
        <v>44638</v>
      </c>
      <c r="F6" s="11">
        <v>44695</v>
      </c>
      <c r="G6" s="22" t="s">
        <v>1420</v>
      </c>
      <c r="H6" s="10">
        <v>1</v>
      </c>
      <c r="I6" s="10">
        <v>4</v>
      </c>
      <c r="J6" s="10">
        <v>0</v>
      </c>
      <c r="K6" s="10">
        <v>0</v>
      </c>
      <c r="L6" s="10">
        <v>0</v>
      </c>
      <c r="M6" s="10">
        <v>0</v>
      </c>
      <c r="N6" s="87">
        <v>10.9072669479652</v>
      </c>
      <c r="O6" s="10">
        <v>0</v>
      </c>
      <c r="P6" s="10">
        <v>1</v>
      </c>
      <c r="Q6" s="10">
        <v>0</v>
      </c>
      <c r="R6" s="10" t="s">
        <v>603</v>
      </c>
      <c r="S6" s="10">
        <v>240</v>
      </c>
      <c r="T6" s="10">
        <v>28</v>
      </c>
      <c r="U6" s="10">
        <v>3</v>
      </c>
      <c r="V6" s="10">
        <v>0</v>
      </c>
      <c r="W6" s="10">
        <v>0</v>
      </c>
      <c r="X6" s="10">
        <v>0</v>
      </c>
      <c r="Y6" s="10">
        <v>0</v>
      </c>
      <c r="Z6" s="87">
        <v>9.3295555478276704</v>
      </c>
      <c r="AA6" s="8">
        <v>0</v>
      </c>
      <c r="AB6" s="8">
        <v>1</v>
      </c>
      <c r="AC6" s="8">
        <v>1</v>
      </c>
      <c r="AD6" s="10" t="s">
        <v>602</v>
      </c>
      <c r="AE6" s="10">
        <v>10</v>
      </c>
      <c r="AF6" s="10">
        <v>3</v>
      </c>
      <c r="AG6" s="10">
        <v>0</v>
      </c>
      <c r="AH6" s="10">
        <v>0</v>
      </c>
      <c r="AI6" s="10">
        <v>0</v>
      </c>
      <c r="AJ6" s="10">
        <v>0</v>
      </c>
      <c r="AK6" s="87">
        <v>11.4925431325539</v>
      </c>
      <c r="AL6" s="10">
        <v>0</v>
      </c>
      <c r="AM6" s="10">
        <v>1</v>
      </c>
      <c r="AN6" s="10">
        <v>0</v>
      </c>
      <c r="AO6" s="87" t="s">
        <v>604</v>
      </c>
    </row>
    <row r="7" spans="1:90" s="40" customFormat="1">
      <c r="A7" s="90" t="s">
        <v>605</v>
      </c>
      <c r="B7" s="90" t="s">
        <v>41</v>
      </c>
      <c r="C7" s="90" t="s">
        <v>772</v>
      </c>
      <c r="D7" s="45">
        <f t="shared" si="0"/>
        <v>65</v>
      </c>
      <c r="E7" s="67">
        <v>44665</v>
      </c>
      <c r="F7" s="67">
        <v>44730</v>
      </c>
      <c r="G7" s="67" t="s">
        <v>1420</v>
      </c>
      <c r="H7" s="45">
        <v>0</v>
      </c>
      <c r="I7" s="45">
        <v>3</v>
      </c>
      <c r="J7" s="45">
        <v>0</v>
      </c>
      <c r="K7" s="45">
        <v>0</v>
      </c>
      <c r="L7" s="45">
        <v>0</v>
      </c>
      <c r="M7" s="45">
        <v>0</v>
      </c>
      <c r="N7" s="60">
        <v>11.9338128201797</v>
      </c>
      <c r="O7" s="45">
        <v>0</v>
      </c>
      <c r="P7" s="45">
        <v>1</v>
      </c>
      <c r="Q7" s="45">
        <v>1</v>
      </c>
      <c r="R7" s="45" t="s">
        <v>607</v>
      </c>
      <c r="S7" s="45">
        <f>5*60+35</f>
        <v>335</v>
      </c>
      <c r="T7" s="45">
        <v>120</v>
      </c>
      <c r="U7" s="45">
        <v>8</v>
      </c>
      <c r="V7" s="45">
        <v>0</v>
      </c>
      <c r="W7" s="45">
        <v>0</v>
      </c>
      <c r="X7" s="45">
        <v>0</v>
      </c>
      <c r="Y7" s="45">
        <v>0</v>
      </c>
      <c r="Z7" s="60">
        <v>9.6104611354260392</v>
      </c>
      <c r="AA7" s="68">
        <v>0</v>
      </c>
      <c r="AB7" s="68">
        <v>1</v>
      </c>
      <c r="AC7" s="68">
        <v>1</v>
      </c>
      <c r="AD7" s="45" t="s">
        <v>606</v>
      </c>
      <c r="AE7" s="45">
        <v>20</v>
      </c>
      <c r="AF7" s="45">
        <v>600</v>
      </c>
      <c r="AG7" s="45">
        <v>6</v>
      </c>
      <c r="AH7" s="45">
        <v>6</v>
      </c>
      <c r="AI7" s="45">
        <v>3</v>
      </c>
      <c r="AJ7" s="49">
        <v>0</v>
      </c>
      <c r="AK7" s="60" t="s">
        <v>25</v>
      </c>
      <c r="AL7" s="68">
        <v>5</v>
      </c>
      <c r="AM7" s="68">
        <v>5</v>
      </c>
      <c r="AN7" s="68">
        <v>5</v>
      </c>
      <c r="AO7" s="45" t="s">
        <v>173</v>
      </c>
    </row>
    <row r="8" spans="1:90" s="40" customFormat="1">
      <c r="A8" s="90" t="s">
        <v>608</v>
      </c>
      <c r="B8" s="90" t="s">
        <v>41</v>
      </c>
      <c r="C8" s="90" t="s">
        <v>772</v>
      </c>
      <c r="D8" s="45">
        <f t="shared" si="0"/>
        <v>72</v>
      </c>
      <c r="E8" s="67">
        <v>44716</v>
      </c>
      <c r="F8" s="67">
        <v>44788</v>
      </c>
      <c r="G8" s="67" t="s">
        <v>1421</v>
      </c>
      <c r="H8" s="45">
        <v>0</v>
      </c>
      <c r="I8" s="45">
        <v>12</v>
      </c>
      <c r="J8" s="45">
        <v>1</v>
      </c>
      <c r="K8" s="45">
        <v>1</v>
      </c>
      <c r="L8" s="45">
        <v>0</v>
      </c>
      <c r="M8" s="45">
        <v>0</v>
      </c>
      <c r="N8" s="60">
        <v>4.4306464744023302</v>
      </c>
      <c r="O8" s="45">
        <v>0</v>
      </c>
      <c r="P8" s="45">
        <v>2</v>
      </c>
      <c r="Q8" s="45">
        <v>1</v>
      </c>
      <c r="R8" s="45" t="s">
        <v>609</v>
      </c>
      <c r="S8" s="45">
        <v>4</v>
      </c>
      <c r="T8" s="45">
        <v>2</v>
      </c>
      <c r="U8" s="45">
        <v>600</v>
      </c>
      <c r="V8" s="45">
        <v>11</v>
      </c>
      <c r="W8" s="45">
        <v>12</v>
      </c>
      <c r="X8" s="45">
        <v>5</v>
      </c>
      <c r="Y8" s="45">
        <v>5</v>
      </c>
      <c r="Z8" s="60" t="s">
        <v>25</v>
      </c>
      <c r="AA8" s="68">
        <v>5</v>
      </c>
      <c r="AB8" s="68">
        <v>5</v>
      </c>
      <c r="AC8" s="68">
        <v>5</v>
      </c>
      <c r="AD8" s="45" t="s">
        <v>26</v>
      </c>
      <c r="AE8" s="45">
        <v>-1</v>
      </c>
      <c r="AF8" s="45">
        <f>360+48</f>
        <v>408</v>
      </c>
      <c r="AG8" s="45">
        <v>6</v>
      </c>
      <c r="AH8" s="45">
        <v>5</v>
      </c>
      <c r="AI8" s="45">
        <v>2</v>
      </c>
      <c r="AJ8" s="45">
        <v>3</v>
      </c>
      <c r="AK8" s="60">
        <v>7.3059896086616201</v>
      </c>
      <c r="AL8" s="45">
        <v>2</v>
      </c>
      <c r="AM8" s="45">
        <v>3</v>
      </c>
      <c r="AN8" s="45">
        <v>1</v>
      </c>
      <c r="AO8" s="45" t="s">
        <v>610</v>
      </c>
    </row>
    <row r="9" spans="1:90" s="40" customFormat="1">
      <c r="A9" s="31" t="s">
        <v>611</v>
      </c>
      <c r="B9" s="31" t="s">
        <v>41</v>
      </c>
      <c r="C9" s="31" t="s">
        <v>773</v>
      </c>
      <c r="D9" s="10">
        <f t="shared" si="0"/>
        <v>86</v>
      </c>
      <c r="E9" s="22">
        <v>44702</v>
      </c>
      <c r="F9" s="22">
        <v>44788</v>
      </c>
      <c r="G9" s="22" t="s">
        <v>1420</v>
      </c>
      <c r="H9" s="10">
        <v>1</v>
      </c>
      <c r="I9" s="10">
        <v>4</v>
      </c>
      <c r="J9" s="10">
        <v>0</v>
      </c>
      <c r="K9" s="10">
        <v>0</v>
      </c>
      <c r="L9" s="10">
        <v>0</v>
      </c>
      <c r="M9" s="10">
        <v>0</v>
      </c>
      <c r="N9" s="87">
        <v>4.5552840168715001</v>
      </c>
      <c r="O9" s="10">
        <v>0</v>
      </c>
      <c r="P9" s="10">
        <v>1</v>
      </c>
      <c r="Q9" s="10">
        <v>0</v>
      </c>
      <c r="R9" s="10" t="s">
        <v>613</v>
      </c>
      <c r="S9" s="10">
        <v>300</v>
      </c>
      <c r="T9" s="10">
        <v>37</v>
      </c>
      <c r="U9" s="10">
        <v>128</v>
      </c>
      <c r="V9" s="10">
        <v>1</v>
      </c>
      <c r="W9" s="10">
        <v>1</v>
      </c>
      <c r="X9" s="7">
        <v>0</v>
      </c>
      <c r="Y9" s="7">
        <v>0</v>
      </c>
      <c r="Z9" s="87">
        <v>2.0659130504197099</v>
      </c>
      <c r="AA9" s="8">
        <v>3</v>
      </c>
      <c r="AB9" s="8">
        <v>3</v>
      </c>
      <c r="AC9" s="8">
        <v>3</v>
      </c>
      <c r="AD9" s="10" t="s">
        <v>612</v>
      </c>
      <c r="AE9" s="10">
        <f>600-128</f>
        <v>472</v>
      </c>
      <c r="AF9" s="10">
        <v>328</v>
      </c>
      <c r="AG9" s="10">
        <v>2</v>
      </c>
      <c r="AH9" s="10">
        <v>1</v>
      </c>
      <c r="AI9" s="7">
        <v>0</v>
      </c>
      <c r="AJ9" s="7">
        <v>2</v>
      </c>
      <c r="AK9" s="87">
        <v>3.1642488575985102</v>
      </c>
      <c r="AL9" s="10">
        <v>2</v>
      </c>
      <c r="AM9" s="10">
        <v>3</v>
      </c>
      <c r="AN9" s="10">
        <v>2</v>
      </c>
      <c r="AO9" s="10" t="s">
        <v>614</v>
      </c>
    </row>
    <row r="10" spans="1:90" s="40" customFormat="1">
      <c r="A10" s="31" t="s">
        <v>615</v>
      </c>
      <c r="B10" s="31" t="s">
        <v>17</v>
      </c>
      <c r="C10" s="31" t="s">
        <v>773</v>
      </c>
      <c r="D10" s="10">
        <f t="shared" si="0"/>
        <v>62</v>
      </c>
      <c r="E10" s="22">
        <v>44748</v>
      </c>
      <c r="F10" s="178">
        <v>44810</v>
      </c>
      <c r="G10" s="178" t="s">
        <v>1421</v>
      </c>
      <c r="H10" s="10">
        <v>1</v>
      </c>
      <c r="I10" s="10">
        <v>6</v>
      </c>
      <c r="J10" s="10">
        <v>0</v>
      </c>
      <c r="K10" s="10">
        <v>0</v>
      </c>
      <c r="L10" s="10">
        <v>0</v>
      </c>
      <c r="M10" s="10">
        <v>0</v>
      </c>
      <c r="N10" s="87">
        <v>6.1006550589923902</v>
      </c>
      <c r="O10" s="10">
        <v>0</v>
      </c>
      <c r="P10" s="10">
        <v>1</v>
      </c>
      <c r="Q10" s="10">
        <v>0</v>
      </c>
      <c r="R10" s="10" t="s">
        <v>617</v>
      </c>
      <c r="S10" s="10">
        <f>35-12</f>
        <v>23</v>
      </c>
      <c r="T10" s="10">
        <v>22</v>
      </c>
      <c r="U10" s="10">
        <v>6</v>
      </c>
      <c r="V10" s="10">
        <v>0</v>
      </c>
      <c r="W10" s="10">
        <v>0</v>
      </c>
      <c r="X10" s="10">
        <v>0</v>
      </c>
      <c r="Y10" s="10">
        <v>0</v>
      </c>
      <c r="Z10" s="87">
        <v>13.9123183754216</v>
      </c>
      <c r="AA10" s="8">
        <v>2</v>
      </c>
      <c r="AB10" s="179">
        <v>3</v>
      </c>
      <c r="AC10" s="179">
        <v>1</v>
      </c>
      <c r="AD10" s="10" t="s">
        <v>616</v>
      </c>
      <c r="AE10" s="10">
        <v>3</v>
      </c>
      <c r="AF10" s="10">
        <f>72-7</f>
        <v>65</v>
      </c>
      <c r="AG10" s="10">
        <v>2</v>
      </c>
      <c r="AH10" s="10">
        <v>0</v>
      </c>
      <c r="AI10" s="10">
        <v>0</v>
      </c>
      <c r="AJ10" s="10">
        <v>0</v>
      </c>
      <c r="AK10" s="87">
        <v>6.6900236498839698</v>
      </c>
      <c r="AL10" s="10">
        <v>0</v>
      </c>
      <c r="AM10" s="10">
        <v>1</v>
      </c>
      <c r="AN10" s="10">
        <v>0</v>
      </c>
      <c r="AO10" s="10" t="s">
        <v>618</v>
      </c>
    </row>
    <row r="11" spans="1:90" s="40" customFormat="1">
      <c r="A11" s="90" t="s">
        <v>619</v>
      </c>
      <c r="B11" s="90" t="s">
        <v>17</v>
      </c>
      <c r="C11" s="90" t="s">
        <v>772</v>
      </c>
      <c r="D11" s="45">
        <f t="shared" si="0"/>
        <v>62</v>
      </c>
      <c r="E11" s="67">
        <v>44748</v>
      </c>
      <c r="F11" s="67">
        <v>44810</v>
      </c>
      <c r="G11" s="67" t="s">
        <v>1421</v>
      </c>
      <c r="H11" s="45">
        <v>0</v>
      </c>
      <c r="I11" s="45">
        <v>8</v>
      </c>
      <c r="J11" s="45">
        <v>0</v>
      </c>
      <c r="K11" s="45">
        <v>0</v>
      </c>
      <c r="L11" s="45">
        <v>0</v>
      </c>
      <c r="M11" s="45">
        <v>0</v>
      </c>
      <c r="N11" s="60">
        <v>6.3573121860218</v>
      </c>
      <c r="O11" s="45">
        <v>0</v>
      </c>
      <c r="P11" s="45">
        <v>1</v>
      </c>
      <c r="Q11" s="45">
        <v>1</v>
      </c>
      <c r="R11" s="45" t="s">
        <v>621</v>
      </c>
      <c r="S11" s="45">
        <v>5</v>
      </c>
      <c r="T11" s="45">
        <v>0.5</v>
      </c>
      <c r="U11" s="45">
        <v>3</v>
      </c>
      <c r="V11" s="45">
        <v>0</v>
      </c>
      <c r="W11" s="45">
        <v>0</v>
      </c>
      <c r="X11" s="45">
        <v>0</v>
      </c>
      <c r="Y11" s="45">
        <v>0</v>
      </c>
      <c r="Z11" s="60">
        <v>12.659860886359199</v>
      </c>
      <c r="AA11" s="68">
        <v>0</v>
      </c>
      <c r="AB11" s="68">
        <v>1</v>
      </c>
      <c r="AC11" s="68">
        <v>1</v>
      </c>
      <c r="AD11" s="45" t="s">
        <v>620</v>
      </c>
      <c r="AE11" s="45">
        <v>48</v>
      </c>
      <c r="AF11" s="45">
        <v>2</v>
      </c>
      <c r="AG11" s="45">
        <v>0</v>
      </c>
      <c r="AH11" s="45">
        <v>0</v>
      </c>
      <c r="AI11" s="45">
        <v>0</v>
      </c>
      <c r="AJ11" s="45">
        <v>0</v>
      </c>
      <c r="AK11" s="60">
        <v>17.401607000270399</v>
      </c>
      <c r="AL11" s="45">
        <v>0</v>
      </c>
      <c r="AM11" s="45">
        <v>1</v>
      </c>
      <c r="AN11" s="45">
        <v>0</v>
      </c>
      <c r="AO11" s="45" t="s">
        <v>622</v>
      </c>
    </row>
    <row r="12" spans="1:90" s="40" customFormat="1">
      <c r="A12" s="90" t="s">
        <v>623</v>
      </c>
      <c r="B12" s="90" t="s">
        <v>17</v>
      </c>
      <c r="C12" s="90" t="s">
        <v>772</v>
      </c>
      <c r="D12" s="45">
        <f t="shared" si="0"/>
        <v>62</v>
      </c>
      <c r="E12" s="67">
        <v>44748</v>
      </c>
      <c r="F12" s="67">
        <v>44810</v>
      </c>
      <c r="G12" s="67" t="s">
        <v>1421</v>
      </c>
      <c r="H12" s="45">
        <v>0</v>
      </c>
      <c r="I12" s="45">
        <v>53</v>
      </c>
      <c r="J12" s="45">
        <v>1</v>
      </c>
      <c r="K12" s="45">
        <v>1</v>
      </c>
      <c r="L12" s="45">
        <v>0</v>
      </c>
      <c r="M12" s="45">
        <v>0</v>
      </c>
      <c r="N12" s="60">
        <v>4.65036282472993</v>
      </c>
      <c r="O12" s="45">
        <v>0</v>
      </c>
      <c r="P12" s="45">
        <v>1</v>
      </c>
      <c r="Q12" s="45">
        <v>1</v>
      </c>
      <c r="R12" s="45" t="s">
        <v>625</v>
      </c>
      <c r="S12" s="45">
        <v>8</v>
      </c>
      <c r="T12" s="45">
        <v>3</v>
      </c>
      <c r="U12" s="45">
        <v>600</v>
      </c>
      <c r="V12" s="45">
        <v>3</v>
      </c>
      <c r="W12" s="45">
        <v>7</v>
      </c>
      <c r="X12" s="45">
        <v>1</v>
      </c>
      <c r="Y12" s="45">
        <v>1</v>
      </c>
      <c r="Z12" s="60" t="s">
        <v>25</v>
      </c>
      <c r="AA12" s="68">
        <v>5</v>
      </c>
      <c r="AB12" s="68">
        <v>5</v>
      </c>
      <c r="AC12" s="68">
        <v>5</v>
      </c>
      <c r="AD12" s="45" t="s">
        <v>624</v>
      </c>
      <c r="AE12" s="45">
        <v>-1</v>
      </c>
      <c r="AF12" s="45">
        <v>600</v>
      </c>
      <c r="AG12" s="45">
        <v>6</v>
      </c>
      <c r="AH12" s="45">
        <v>5</v>
      </c>
      <c r="AI12" s="45">
        <v>2</v>
      </c>
      <c r="AJ12" s="45">
        <v>0</v>
      </c>
      <c r="AK12" s="60" t="s">
        <v>25</v>
      </c>
      <c r="AL12" s="45">
        <v>5</v>
      </c>
      <c r="AM12" s="45">
        <v>5</v>
      </c>
      <c r="AN12" s="45">
        <v>5</v>
      </c>
      <c r="AO12" s="45" t="s">
        <v>173</v>
      </c>
    </row>
    <row r="13" spans="1:90" s="40" customFormat="1">
      <c r="A13" s="90" t="s">
        <v>626</v>
      </c>
      <c r="B13" s="90" t="s">
        <v>17</v>
      </c>
      <c r="C13" s="90" t="s">
        <v>772</v>
      </c>
      <c r="D13" s="45">
        <f t="shared" si="0"/>
        <v>63</v>
      </c>
      <c r="E13" s="67">
        <v>44747</v>
      </c>
      <c r="F13" s="67">
        <v>44810</v>
      </c>
      <c r="G13" s="67" t="s">
        <v>1420</v>
      </c>
      <c r="H13" s="45">
        <v>0</v>
      </c>
      <c r="I13" s="45">
        <f>22-5</f>
        <v>17</v>
      </c>
      <c r="J13" s="45">
        <v>2</v>
      </c>
      <c r="K13" s="45">
        <v>1</v>
      </c>
      <c r="L13" s="45">
        <v>0</v>
      </c>
      <c r="M13" s="45">
        <v>0</v>
      </c>
      <c r="N13" s="60">
        <v>0.92179569539815598</v>
      </c>
      <c r="O13" s="45">
        <v>0</v>
      </c>
      <c r="P13" s="45">
        <v>1</v>
      </c>
      <c r="Q13" s="45">
        <v>0</v>
      </c>
      <c r="R13" s="45" t="s">
        <v>628</v>
      </c>
      <c r="S13" s="45">
        <v>583</v>
      </c>
      <c r="T13" s="45">
        <v>32</v>
      </c>
      <c r="U13" s="45">
        <v>78</v>
      </c>
      <c r="V13" s="45">
        <v>1</v>
      </c>
      <c r="W13" s="45">
        <v>1</v>
      </c>
      <c r="X13" s="23">
        <v>0</v>
      </c>
      <c r="Y13" s="23">
        <v>0</v>
      </c>
      <c r="Z13" s="60">
        <v>7.2333256701860096</v>
      </c>
      <c r="AA13" s="68">
        <v>3</v>
      </c>
      <c r="AB13" s="68">
        <v>3</v>
      </c>
      <c r="AC13" s="68">
        <v>2</v>
      </c>
      <c r="AD13" s="45" t="s">
        <v>627</v>
      </c>
      <c r="AE13" s="45">
        <f>600-78</f>
        <v>522</v>
      </c>
      <c r="AF13" s="45">
        <v>210</v>
      </c>
      <c r="AG13" s="45">
        <v>3</v>
      </c>
      <c r="AH13" s="45">
        <v>3</v>
      </c>
      <c r="AI13" s="45">
        <v>0</v>
      </c>
      <c r="AJ13" s="45">
        <v>1</v>
      </c>
      <c r="AK13" s="60">
        <v>7.2339525849891597</v>
      </c>
      <c r="AL13" s="45">
        <v>3</v>
      </c>
      <c r="AM13" s="45">
        <v>3</v>
      </c>
      <c r="AN13" s="45">
        <v>2</v>
      </c>
      <c r="AO13" s="45" t="s">
        <v>629</v>
      </c>
    </row>
    <row r="14" spans="1:90" s="40" customFormat="1">
      <c r="A14" s="31" t="s">
        <v>630</v>
      </c>
      <c r="B14" s="31" t="s">
        <v>41</v>
      </c>
      <c r="C14" s="31" t="s">
        <v>773</v>
      </c>
      <c r="D14" s="10">
        <f t="shared" si="0"/>
        <v>70</v>
      </c>
      <c r="E14" s="22">
        <v>44740</v>
      </c>
      <c r="F14" s="22">
        <v>44810</v>
      </c>
      <c r="G14" s="22" t="s">
        <v>1420</v>
      </c>
      <c r="H14" s="10">
        <v>1</v>
      </c>
      <c r="I14" s="10">
        <v>76</v>
      </c>
      <c r="J14" s="10">
        <v>2</v>
      </c>
      <c r="K14" s="10">
        <v>1</v>
      </c>
      <c r="L14" s="10">
        <v>0</v>
      </c>
      <c r="M14" s="10">
        <v>0</v>
      </c>
      <c r="N14" s="87">
        <v>4.5914786669121401</v>
      </c>
      <c r="O14" s="10">
        <v>0</v>
      </c>
      <c r="P14" s="10">
        <v>1</v>
      </c>
      <c r="Q14" s="10">
        <v>1</v>
      </c>
      <c r="R14" s="10" t="s">
        <v>632</v>
      </c>
      <c r="S14" s="10">
        <f>155-84</f>
        <v>71</v>
      </c>
      <c r="T14" s="10">
        <v>23</v>
      </c>
      <c r="U14" s="10">
        <f>250</f>
        <v>250</v>
      </c>
      <c r="V14" s="10">
        <v>3</v>
      </c>
      <c r="W14" s="93">
        <v>4</v>
      </c>
      <c r="X14" s="93">
        <v>2</v>
      </c>
      <c r="Y14" s="10">
        <v>0</v>
      </c>
      <c r="Z14" s="87">
        <v>6.5644508295783703</v>
      </c>
      <c r="AA14" s="8">
        <v>2</v>
      </c>
      <c r="AB14" s="8">
        <v>3</v>
      </c>
      <c r="AC14" s="8">
        <v>3</v>
      </c>
      <c r="AD14" s="10" t="s">
        <v>631</v>
      </c>
      <c r="AE14" s="10">
        <v>450</v>
      </c>
      <c r="AF14" s="10">
        <f>2*60+22</f>
        <v>142</v>
      </c>
      <c r="AG14" s="10">
        <v>3</v>
      </c>
      <c r="AH14" s="10">
        <v>4</v>
      </c>
      <c r="AI14" s="10">
        <v>0</v>
      </c>
      <c r="AJ14" s="10">
        <v>0</v>
      </c>
      <c r="AK14" s="87">
        <v>9.3239450594263502</v>
      </c>
      <c r="AL14" s="10">
        <v>3</v>
      </c>
      <c r="AM14" s="10">
        <v>3</v>
      </c>
      <c r="AN14" s="10">
        <v>2</v>
      </c>
      <c r="AO14" s="10" t="s">
        <v>633</v>
      </c>
    </row>
    <row r="15" spans="1:90" s="40" customFormat="1">
      <c r="A15" s="90" t="s">
        <v>634</v>
      </c>
      <c r="B15" s="90" t="s">
        <v>41</v>
      </c>
      <c r="C15" s="90" t="s">
        <v>772</v>
      </c>
      <c r="D15" s="45">
        <f t="shared" si="0"/>
        <v>102</v>
      </c>
      <c r="E15" s="67">
        <v>44740</v>
      </c>
      <c r="F15" s="67">
        <v>44842</v>
      </c>
      <c r="G15" s="67" t="s">
        <v>1421</v>
      </c>
      <c r="H15" s="45">
        <v>0</v>
      </c>
      <c r="I15" s="45">
        <v>86</v>
      </c>
      <c r="J15" s="45">
        <v>1</v>
      </c>
      <c r="K15" s="45">
        <v>0</v>
      </c>
      <c r="L15" s="45">
        <v>0</v>
      </c>
      <c r="M15" s="45">
        <v>0</v>
      </c>
      <c r="N15" s="60">
        <v>6.8033660179820004</v>
      </c>
      <c r="O15" s="45">
        <v>0</v>
      </c>
      <c r="P15" s="45">
        <v>1</v>
      </c>
      <c r="Q15" s="45">
        <v>0</v>
      </c>
      <c r="R15" s="45" t="s">
        <v>636</v>
      </c>
      <c r="S15" s="45">
        <v>3.5</v>
      </c>
      <c r="T15" s="45">
        <v>0.5</v>
      </c>
      <c r="U15" s="45">
        <f>4*60+33</f>
        <v>273</v>
      </c>
      <c r="V15" s="45">
        <v>3</v>
      </c>
      <c r="W15" s="45">
        <v>2</v>
      </c>
      <c r="X15" s="45">
        <v>0</v>
      </c>
      <c r="Y15" s="45">
        <v>3</v>
      </c>
      <c r="Z15" s="60">
        <v>4.9436299408438096</v>
      </c>
      <c r="AA15" s="68">
        <v>4</v>
      </c>
      <c r="AB15" s="68">
        <v>3</v>
      </c>
      <c r="AC15" s="68">
        <v>2</v>
      </c>
      <c r="AD15" s="45" t="s">
        <v>635</v>
      </c>
      <c r="AE15" s="45">
        <f>600-273</f>
        <v>327</v>
      </c>
      <c r="AF15" s="45">
        <v>600</v>
      </c>
      <c r="AG15" s="45">
        <v>3</v>
      </c>
      <c r="AH15" s="45">
        <v>3</v>
      </c>
      <c r="AI15" s="45">
        <v>1</v>
      </c>
      <c r="AJ15" s="45">
        <v>0</v>
      </c>
      <c r="AK15" s="60" t="s">
        <v>25</v>
      </c>
      <c r="AL15" s="45">
        <v>5</v>
      </c>
      <c r="AM15" s="45">
        <v>5</v>
      </c>
      <c r="AN15" s="45">
        <v>5</v>
      </c>
      <c r="AO15" s="45" t="s">
        <v>173</v>
      </c>
    </row>
    <row r="16" spans="1:90" s="40" customFormat="1">
      <c r="A16" s="31" t="s">
        <v>637</v>
      </c>
      <c r="B16" s="31" t="s">
        <v>41</v>
      </c>
      <c r="C16" s="31" t="s">
        <v>773</v>
      </c>
      <c r="D16" s="10">
        <f t="shared" si="0"/>
        <v>56</v>
      </c>
      <c r="E16" s="22">
        <v>44786</v>
      </c>
      <c r="F16" s="22">
        <v>44842</v>
      </c>
      <c r="G16" s="22" t="s">
        <v>1421</v>
      </c>
      <c r="H16" s="10">
        <v>1</v>
      </c>
      <c r="I16" s="10">
        <v>63</v>
      </c>
      <c r="J16" s="10">
        <v>0</v>
      </c>
      <c r="K16" s="10">
        <v>0</v>
      </c>
      <c r="L16" s="10">
        <v>0</v>
      </c>
      <c r="M16" s="10">
        <v>0</v>
      </c>
      <c r="N16" s="87">
        <v>4.3108663103855704</v>
      </c>
      <c r="O16" s="10">
        <v>0</v>
      </c>
      <c r="P16" s="10">
        <v>1</v>
      </c>
      <c r="Q16" s="10">
        <v>0</v>
      </c>
      <c r="R16" s="10" t="s">
        <v>639</v>
      </c>
      <c r="S16" s="10">
        <v>4</v>
      </c>
      <c r="T16" s="10">
        <v>0.5</v>
      </c>
      <c r="U16" s="10">
        <v>4</v>
      </c>
      <c r="V16" s="10">
        <v>0</v>
      </c>
      <c r="W16" s="10">
        <v>0</v>
      </c>
      <c r="X16" s="10">
        <v>0</v>
      </c>
      <c r="Y16" s="10">
        <v>0</v>
      </c>
      <c r="Z16" s="87">
        <v>13.9725076467973</v>
      </c>
      <c r="AA16" s="8">
        <v>0</v>
      </c>
      <c r="AB16" s="8">
        <v>1</v>
      </c>
      <c r="AC16" s="8">
        <v>0</v>
      </c>
      <c r="AD16" s="10" t="s">
        <v>638</v>
      </c>
      <c r="AE16" s="10">
        <v>563</v>
      </c>
      <c r="AF16" s="10">
        <f>2*60+48</f>
        <v>168</v>
      </c>
      <c r="AG16" s="10">
        <v>2</v>
      </c>
      <c r="AH16" s="10">
        <v>2</v>
      </c>
      <c r="AI16" s="10">
        <v>0</v>
      </c>
      <c r="AJ16" s="10">
        <v>0</v>
      </c>
      <c r="AK16" s="87">
        <v>4.1098604004843997</v>
      </c>
      <c r="AL16" s="10">
        <v>0</v>
      </c>
      <c r="AM16" s="10">
        <v>1</v>
      </c>
      <c r="AN16" s="10">
        <v>0</v>
      </c>
      <c r="AO16" s="10" t="s">
        <v>640</v>
      </c>
    </row>
    <row r="17" spans="1:41" s="40" customFormat="1">
      <c r="A17" s="31" t="s">
        <v>641</v>
      </c>
      <c r="B17" s="31" t="s">
        <v>17</v>
      </c>
      <c r="C17" s="31" t="s">
        <v>773</v>
      </c>
      <c r="D17" s="10">
        <f t="shared" si="0"/>
        <v>100</v>
      </c>
      <c r="E17" s="22">
        <v>44822</v>
      </c>
      <c r="F17" s="22">
        <v>44922</v>
      </c>
      <c r="G17" s="22" t="s">
        <v>1421</v>
      </c>
      <c r="H17" s="10">
        <v>1</v>
      </c>
      <c r="I17" s="10">
        <v>16</v>
      </c>
      <c r="J17" s="10">
        <v>1</v>
      </c>
      <c r="K17" s="10">
        <v>1</v>
      </c>
      <c r="L17" s="10">
        <v>0</v>
      </c>
      <c r="M17" s="10">
        <v>0</v>
      </c>
      <c r="N17" s="87">
        <v>5.5118737509667897</v>
      </c>
      <c r="O17" s="10">
        <v>0</v>
      </c>
      <c r="P17" s="10">
        <v>1</v>
      </c>
      <c r="Q17" s="10">
        <v>0</v>
      </c>
      <c r="R17" s="10" t="s">
        <v>643</v>
      </c>
      <c r="S17" s="10">
        <v>5</v>
      </c>
      <c r="T17" s="10">
        <v>1.5</v>
      </c>
      <c r="U17" s="10">
        <v>8</v>
      </c>
      <c r="V17" s="10">
        <v>0</v>
      </c>
      <c r="W17" s="10">
        <v>0</v>
      </c>
      <c r="X17" s="10">
        <v>0</v>
      </c>
      <c r="Y17" s="10">
        <v>0</v>
      </c>
      <c r="Z17" s="87">
        <v>7.5901902543098601</v>
      </c>
      <c r="AA17" s="8">
        <v>0</v>
      </c>
      <c r="AB17" s="8">
        <v>1</v>
      </c>
      <c r="AC17" s="8">
        <v>0</v>
      </c>
      <c r="AD17" s="10" t="s">
        <v>642</v>
      </c>
      <c r="AE17" s="10">
        <v>592</v>
      </c>
      <c r="AF17" s="10">
        <v>69</v>
      </c>
      <c r="AG17" s="10">
        <v>1</v>
      </c>
      <c r="AH17" s="10">
        <v>1</v>
      </c>
      <c r="AI17" s="10">
        <v>0</v>
      </c>
      <c r="AJ17" s="10">
        <v>0</v>
      </c>
      <c r="AK17" s="87">
        <v>3.9743523485274599</v>
      </c>
      <c r="AL17" s="10">
        <v>0</v>
      </c>
      <c r="AM17" s="10">
        <v>1</v>
      </c>
      <c r="AN17" s="10">
        <v>0</v>
      </c>
      <c r="AO17" s="10" t="s">
        <v>644</v>
      </c>
    </row>
    <row r="18" spans="1:41" s="40" customFormat="1">
      <c r="A18" s="90" t="s">
        <v>645</v>
      </c>
      <c r="B18" s="90" t="s">
        <v>41</v>
      </c>
      <c r="C18" s="90" t="s">
        <v>772</v>
      </c>
      <c r="D18" s="45">
        <f t="shared" si="0"/>
        <v>82</v>
      </c>
      <c r="E18" s="67">
        <v>44825</v>
      </c>
      <c r="F18" s="67">
        <v>44907</v>
      </c>
      <c r="G18" s="67" t="s">
        <v>1420</v>
      </c>
      <c r="H18" s="45">
        <v>0</v>
      </c>
      <c r="I18" s="45">
        <v>16</v>
      </c>
      <c r="J18" s="45">
        <v>1</v>
      </c>
      <c r="K18" s="45">
        <v>0</v>
      </c>
      <c r="L18" s="45">
        <v>0</v>
      </c>
      <c r="M18" s="45">
        <v>0</v>
      </c>
      <c r="N18" s="60">
        <v>8.8634289243483302</v>
      </c>
      <c r="O18" s="45">
        <v>3</v>
      </c>
      <c r="P18" s="45">
        <v>2</v>
      </c>
      <c r="Q18" s="45">
        <v>1</v>
      </c>
      <c r="R18" s="45" t="s">
        <v>647</v>
      </c>
      <c r="S18" s="45">
        <f>8*60+20</f>
        <v>500</v>
      </c>
      <c r="T18" s="45">
        <v>105</v>
      </c>
      <c r="U18" s="45">
        <v>23</v>
      </c>
      <c r="V18" s="45">
        <v>1</v>
      </c>
      <c r="W18" s="45">
        <v>1</v>
      </c>
      <c r="X18" s="45">
        <v>0</v>
      </c>
      <c r="Y18" s="45">
        <v>0</v>
      </c>
      <c r="Z18" s="60">
        <v>9.3400158265967796</v>
      </c>
      <c r="AA18" s="68">
        <v>0</v>
      </c>
      <c r="AB18" s="68">
        <v>1</v>
      </c>
      <c r="AC18" s="68">
        <v>0</v>
      </c>
      <c r="AD18" s="45" t="s">
        <v>646</v>
      </c>
      <c r="AE18" s="45">
        <v>3</v>
      </c>
      <c r="AF18" s="45">
        <v>187</v>
      </c>
      <c r="AG18" s="45">
        <v>3</v>
      </c>
      <c r="AH18" s="45">
        <v>1</v>
      </c>
      <c r="AI18" s="45">
        <v>1</v>
      </c>
      <c r="AJ18" s="45">
        <v>3</v>
      </c>
      <c r="AK18" s="60">
        <v>5.8520238409322598</v>
      </c>
      <c r="AL18" s="45">
        <v>3</v>
      </c>
      <c r="AM18" s="45">
        <v>2</v>
      </c>
      <c r="AN18" s="45">
        <v>1</v>
      </c>
      <c r="AO18" s="45" t="s">
        <v>648</v>
      </c>
    </row>
    <row r="19" spans="1:41" s="40" customFormat="1">
      <c r="A19" s="31" t="s">
        <v>649</v>
      </c>
      <c r="B19" s="31" t="s">
        <v>41</v>
      </c>
      <c r="C19" s="31" t="s">
        <v>773</v>
      </c>
      <c r="D19" s="10">
        <f t="shared" si="0"/>
        <v>85</v>
      </c>
      <c r="E19" s="22">
        <v>44822</v>
      </c>
      <c r="F19" s="22">
        <v>44907</v>
      </c>
      <c r="G19" s="22" t="s">
        <v>1420</v>
      </c>
      <c r="H19" s="10">
        <v>1</v>
      </c>
      <c r="I19" s="10">
        <v>4</v>
      </c>
      <c r="J19" s="10">
        <v>0</v>
      </c>
      <c r="K19" s="10">
        <v>0</v>
      </c>
      <c r="L19" s="10">
        <v>0</v>
      </c>
      <c r="M19" s="10">
        <v>1</v>
      </c>
      <c r="N19" s="87">
        <v>3.1783748263563498</v>
      </c>
      <c r="O19" s="10">
        <v>0</v>
      </c>
      <c r="P19" s="10">
        <v>1</v>
      </c>
      <c r="Q19" s="10">
        <v>1</v>
      </c>
      <c r="R19" s="10" t="s">
        <v>651</v>
      </c>
      <c r="S19" s="10">
        <v>120</v>
      </c>
      <c r="T19" s="10">
        <v>36</v>
      </c>
      <c r="U19" s="10">
        <v>14</v>
      </c>
      <c r="V19" s="10">
        <v>1</v>
      </c>
      <c r="W19" s="10">
        <v>1</v>
      </c>
      <c r="X19" s="10">
        <v>0</v>
      </c>
      <c r="Y19" s="10">
        <v>0</v>
      </c>
      <c r="Z19" s="87">
        <v>9.0154551040684492</v>
      </c>
      <c r="AA19" s="8">
        <v>2</v>
      </c>
      <c r="AB19" s="8">
        <v>1</v>
      </c>
      <c r="AC19" s="8">
        <v>1</v>
      </c>
      <c r="AD19" s="10" t="s">
        <v>650</v>
      </c>
      <c r="AE19" s="10">
        <v>15</v>
      </c>
      <c r="AF19" s="10">
        <v>5</v>
      </c>
      <c r="AG19" s="10">
        <v>0</v>
      </c>
      <c r="AH19" s="10">
        <v>0</v>
      </c>
      <c r="AI19" s="10">
        <v>0</v>
      </c>
      <c r="AJ19" s="10">
        <v>0</v>
      </c>
      <c r="AK19" s="87">
        <v>10.781671082149</v>
      </c>
      <c r="AL19" s="10">
        <v>3</v>
      </c>
      <c r="AM19" s="10">
        <v>2</v>
      </c>
      <c r="AN19" s="10">
        <v>1</v>
      </c>
      <c r="AO19" s="10" t="s">
        <v>652</v>
      </c>
    </row>
    <row r="20" spans="1:41" s="40" customFormat="1">
      <c r="A20" s="31" t="s">
        <v>657</v>
      </c>
      <c r="B20" s="31" t="s">
        <v>17</v>
      </c>
      <c r="C20" s="31" t="s">
        <v>773</v>
      </c>
      <c r="D20" s="10">
        <f t="shared" si="0"/>
        <v>56</v>
      </c>
      <c r="E20" s="22">
        <v>44786</v>
      </c>
      <c r="F20" s="22">
        <v>44842</v>
      </c>
      <c r="G20" s="22" t="s">
        <v>1421</v>
      </c>
      <c r="H20" s="10">
        <v>1</v>
      </c>
      <c r="I20" s="10">
        <v>7</v>
      </c>
      <c r="J20" s="10">
        <v>0</v>
      </c>
      <c r="K20" s="10">
        <v>0</v>
      </c>
      <c r="L20" s="10">
        <v>0</v>
      </c>
      <c r="M20" s="10">
        <v>0</v>
      </c>
      <c r="N20" s="87">
        <v>8.4095174929946399</v>
      </c>
      <c r="O20" s="10">
        <v>0</v>
      </c>
      <c r="P20" s="10">
        <v>2</v>
      </c>
      <c r="Q20" s="10">
        <v>0</v>
      </c>
      <c r="R20" s="10" t="s">
        <v>659</v>
      </c>
      <c r="S20" s="10">
        <v>3</v>
      </c>
      <c r="T20" s="10">
        <v>1</v>
      </c>
      <c r="U20" s="10">
        <v>4</v>
      </c>
      <c r="V20" s="10">
        <v>0</v>
      </c>
      <c r="W20" s="10">
        <v>0</v>
      </c>
      <c r="X20" s="10">
        <v>0</v>
      </c>
      <c r="Y20" s="10">
        <v>0</v>
      </c>
      <c r="Z20" s="87">
        <v>10.844370653751101</v>
      </c>
      <c r="AA20" s="8">
        <v>0</v>
      </c>
      <c r="AB20" s="8">
        <v>1</v>
      </c>
      <c r="AC20" s="8">
        <v>0</v>
      </c>
      <c r="AD20" s="10" t="s">
        <v>658</v>
      </c>
      <c r="AE20" s="10">
        <v>3</v>
      </c>
      <c r="AF20" s="10">
        <f>261-7</f>
        <v>254</v>
      </c>
      <c r="AG20" s="10">
        <v>8</v>
      </c>
      <c r="AH20" s="10">
        <v>9</v>
      </c>
      <c r="AI20" s="10">
        <v>0</v>
      </c>
      <c r="AJ20" s="10">
        <v>0</v>
      </c>
      <c r="AK20" s="87">
        <v>5.1428193040972197</v>
      </c>
      <c r="AL20" s="10">
        <v>3</v>
      </c>
      <c r="AM20" s="10">
        <v>3</v>
      </c>
      <c r="AN20" s="10">
        <v>2</v>
      </c>
      <c r="AO20" s="10" t="s">
        <v>660</v>
      </c>
    </row>
    <row r="21" spans="1:41" s="40" customFormat="1">
      <c r="A21" s="31" t="s">
        <v>661</v>
      </c>
      <c r="B21" s="31" t="s">
        <v>17</v>
      </c>
      <c r="C21" s="31" t="s">
        <v>773</v>
      </c>
      <c r="D21" s="10">
        <f t="shared" si="0"/>
        <v>65</v>
      </c>
      <c r="E21" s="22">
        <v>44884</v>
      </c>
      <c r="F21" s="22">
        <v>44949</v>
      </c>
      <c r="G21" s="22" t="s">
        <v>1420</v>
      </c>
      <c r="H21" s="10">
        <v>1</v>
      </c>
      <c r="I21" s="10">
        <v>32</v>
      </c>
      <c r="J21" s="10">
        <v>0</v>
      </c>
      <c r="K21" s="10">
        <v>0</v>
      </c>
      <c r="L21" s="10">
        <v>0</v>
      </c>
      <c r="M21" s="10">
        <v>0</v>
      </c>
      <c r="N21" s="87">
        <v>1.0117597345106299</v>
      </c>
      <c r="O21" s="10">
        <v>0</v>
      </c>
      <c r="P21" s="10">
        <v>1</v>
      </c>
      <c r="Q21" s="10">
        <v>0</v>
      </c>
      <c r="R21" s="10" t="s">
        <v>663</v>
      </c>
      <c r="S21" s="10">
        <v>40</v>
      </c>
      <c r="T21" s="10">
        <v>15.5</v>
      </c>
      <c r="U21" s="10">
        <v>7</v>
      </c>
      <c r="V21" s="10">
        <v>0</v>
      </c>
      <c r="W21" s="10">
        <v>0</v>
      </c>
      <c r="X21" s="10">
        <v>0</v>
      </c>
      <c r="Y21" s="10">
        <v>0</v>
      </c>
      <c r="Z21" s="87">
        <v>12.2898299999198</v>
      </c>
      <c r="AA21" s="8">
        <v>1</v>
      </c>
      <c r="AB21" s="8">
        <v>1</v>
      </c>
      <c r="AC21" s="8">
        <v>1</v>
      </c>
      <c r="AD21" s="10" t="s">
        <v>662</v>
      </c>
      <c r="AE21" s="10">
        <v>593</v>
      </c>
      <c r="AF21" s="10">
        <v>2</v>
      </c>
      <c r="AG21" s="10">
        <v>0</v>
      </c>
      <c r="AH21" s="10">
        <v>0</v>
      </c>
      <c r="AI21" s="10">
        <v>0</v>
      </c>
      <c r="AJ21" s="10">
        <v>0</v>
      </c>
      <c r="AK21" s="87">
        <v>19.8491880816632</v>
      </c>
      <c r="AL21" s="10">
        <v>2</v>
      </c>
      <c r="AM21" s="10">
        <v>2</v>
      </c>
      <c r="AN21" s="10">
        <v>1</v>
      </c>
      <c r="AO21" s="10" t="s">
        <v>664</v>
      </c>
    </row>
    <row r="22" spans="1:41" s="40" customFormat="1">
      <c r="A22" s="31" t="s">
        <v>665</v>
      </c>
      <c r="B22" s="31" t="s">
        <v>41</v>
      </c>
      <c r="C22" s="31" t="s">
        <v>773</v>
      </c>
      <c r="D22" s="10">
        <f t="shared" si="0"/>
        <v>69</v>
      </c>
      <c r="E22" s="22">
        <v>44880</v>
      </c>
      <c r="F22" s="22">
        <v>44949</v>
      </c>
      <c r="G22" s="22" t="s">
        <v>1421</v>
      </c>
      <c r="H22" s="10">
        <v>1</v>
      </c>
      <c r="I22" s="10">
        <v>7</v>
      </c>
      <c r="J22" s="10">
        <v>0</v>
      </c>
      <c r="K22" s="10">
        <v>0</v>
      </c>
      <c r="L22" s="10">
        <v>0</v>
      </c>
      <c r="M22" s="10">
        <v>0</v>
      </c>
      <c r="N22" s="87">
        <v>3.3018177676861802</v>
      </c>
      <c r="O22" s="10">
        <v>0</v>
      </c>
      <c r="P22" s="10">
        <v>1</v>
      </c>
      <c r="Q22" s="10">
        <v>0</v>
      </c>
      <c r="R22" s="10" t="s">
        <v>667</v>
      </c>
      <c r="S22" s="10">
        <v>0.5</v>
      </c>
      <c r="T22" s="10">
        <v>0</v>
      </c>
      <c r="U22" s="10">
        <v>4</v>
      </c>
      <c r="V22" s="10">
        <v>1</v>
      </c>
      <c r="W22" s="10">
        <v>1</v>
      </c>
      <c r="X22" s="10">
        <v>0</v>
      </c>
      <c r="Y22" s="10">
        <v>0</v>
      </c>
      <c r="Z22" s="87">
        <v>10.8539924956891</v>
      </c>
      <c r="AA22" s="8">
        <v>1</v>
      </c>
      <c r="AB22" s="8">
        <v>3</v>
      </c>
      <c r="AC22" s="8">
        <v>2</v>
      </c>
      <c r="AD22" s="10" t="s">
        <v>666</v>
      </c>
      <c r="AE22" s="10">
        <v>428</v>
      </c>
      <c r="AF22" s="10">
        <v>24</v>
      </c>
      <c r="AG22" s="10">
        <v>0</v>
      </c>
      <c r="AH22" s="10">
        <v>0</v>
      </c>
      <c r="AI22" s="10">
        <v>0</v>
      </c>
      <c r="AJ22" s="10">
        <v>0</v>
      </c>
      <c r="AK22" s="87">
        <v>5.1540259370793802</v>
      </c>
      <c r="AL22" s="10">
        <v>0</v>
      </c>
      <c r="AM22" s="10">
        <v>1</v>
      </c>
      <c r="AN22" s="10">
        <v>1</v>
      </c>
      <c r="AO22" s="10" t="s">
        <v>668</v>
      </c>
    </row>
    <row r="23" spans="1:41" s="40" customFormat="1">
      <c r="A23" s="31" t="s">
        <v>669</v>
      </c>
      <c r="B23" s="31" t="s">
        <v>41</v>
      </c>
      <c r="C23" s="31" t="s">
        <v>773</v>
      </c>
      <c r="D23" s="10">
        <f t="shared" si="0"/>
        <v>69</v>
      </c>
      <c r="E23" s="22">
        <v>44880</v>
      </c>
      <c r="F23" s="22">
        <v>44949</v>
      </c>
      <c r="G23" s="22" t="s">
        <v>1421</v>
      </c>
      <c r="H23" s="10">
        <v>1</v>
      </c>
      <c r="I23" s="10">
        <v>10</v>
      </c>
      <c r="J23" s="10">
        <v>0</v>
      </c>
      <c r="K23" s="10">
        <v>0</v>
      </c>
      <c r="L23" s="10">
        <v>0</v>
      </c>
      <c r="M23" s="10">
        <v>0</v>
      </c>
      <c r="N23" s="87">
        <v>10.564284554250801</v>
      </c>
      <c r="O23" s="10">
        <v>0</v>
      </c>
      <c r="P23" s="10">
        <v>1</v>
      </c>
      <c r="Q23" s="10">
        <v>1</v>
      </c>
      <c r="R23" s="10" t="s">
        <v>671</v>
      </c>
      <c r="S23" s="10">
        <v>8</v>
      </c>
      <c r="T23" s="10">
        <v>2</v>
      </c>
      <c r="U23" s="10">
        <f>27-12</f>
        <v>15</v>
      </c>
      <c r="V23" s="10">
        <v>0</v>
      </c>
      <c r="W23" s="10">
        <v>0</v>
      </c>
      <c r="X23" s="10">
        <v>0</v>
      </c>
      <c r="Y23" s="10">
        <v>1</v>
      </c>
      <c r="Z23" s="87">
        <v>5.0078228903298898</v>
      </c>
      <c r="AA23" s="8">
        <v>0</v>
      </c>
      <c r="AB23" s="8">
        <v>1</v>
      </c>
      <c r="AC23" s="8">
        <v>0</v>
      </c>
      <c r="AD23" s="10" t="s">
        <v>670</v>
      </c>
      <c r="AE23" s="10">
        <v>585</v>
      </c>
      <c r="AF23" s="10">
        <v>293</v>
      </c>
      <c r="AG23" s="10">
        <v>6</v>
      </c>
      <c r="AH23" s="10">
        <v>8</v>
      </c>
      <c r="AI23" s="10">
        <v>1</v>
      </c>
      <c r="AJ23" s="10">
        <v>6</v>
      </c>
      <c r="AK23" s="87">
        <v>2.4604210961936102</v>
      </c>
      <c r="AL23" s="10">
        <v>3</v>
      </c>
      <c r="AM23" s="10">
        <v>3</v>
      </c>
      <c r="AN23" s="10">
        <v>2</v>
      </c>
      <c r="AO23" s="10" t="s">
        <v>672</v>
      </c>
    </row>
    <row r="24" spans="1:41" s="40" customFormat="1">
      <c r="A24" s="90" t="s">
        <v>673</v>
      </c>
      <c r="B24" s="90" t="s">
        <v>17</v>
      </c>
      <c r="C24" s="90" t="s">
        <v>772</v>
      </c>
      <c r="D24" s="45">
        <f t="shared" si="0"/>
        <v>75</v>
      </c>
      <c r="E24" s="67">
        <v>44921</v>
      </c>
      <c r="F24" s="67">
        <v>44996</v>
      </c>
      <c r="G24" s="67" t="s">
        <v>1420</v>
      </c>
      <c r="H24" s="45">
        <v>0</v>
      </c>
      <c r="I24" s="45">
        <v>7</v>
      </c>
      <c r="J24" s="45">
        <v>0</v>
      </c>
      <c r="K24" s="45">
        <v>0</v>
      </c>
      <c r="L24" s="45">
        <v>0</v>
      </c>
      <c r="M24" s="45">
        <v>0</v>
      </c>
      <c r="N24" s="60">
        <v>4.8484308437232402</v>
      </c>
      <c r="O24" s="45">
        <v>1</v>
      </c>
      <c r="P24" s="45">
        <v>1</v>
      </c>
      <c r="Q24" s="45">
        <v>1</v>
      </c>
      <c r="R24" s="45" t="s">
        <v>675</v>
      </c>
      <c r="S24" s="45">
        <f>3*60+30-11</f>
        <v>199</v>
      </c>
      <c r="T24" s="45">
        <v>19</v>
      </c>
      <c r="U24" s="45">
        <v>161</v>
      </c>
      <c r="V24" s="45">
        <v>4</v>
      </c>
      <c r="W24" s="45">
        <v>4</v>
      </c>
      <c r="X24" s="45">
        <v>0</v>
      </c>
      <c r="Y24" s="45">
        <v>3</v>
      </c>
      <c r="Z24" s="60">
        <v>1.8040997738018401</v>
      </c>
      <c r="AA24" s="68">
        <v>3</v>
      </c>
      <c r="AB24" s="68">
        <v>2</v>
      </c>
      <c r="AC24" s="68">
        <v>0</v>
      </c>
      <c r="AD24" s="45" t="s">
        <v>674</v>
      </c>
      <c r="AE24" s="45">
        <f>600-161</f>
        <v>439</v>
      </c>
      <c r="AF24" s="45">
        <f>112</f>
        <v>112</v>
      </c>
      <c r="AG24" s="45">
        <v>1</v>
      </c>
      <c r="AH24" s="45">
        <v>2</v>
      </c>
      <c r="AI24" s="45">
        <v>0</v>
      </c>
      <c r="AJ24" s="45">
        <v>0</v>
      </c>
      <c r="AK24" s="60">
        <v>6.43993948448363</v>
      </c>
      <c r="AL24" s="45">
        <v>3</v>
      </c>
      <c r="AM24" s="45">
        <v>3</v>
      </c>
      <c r="AN24" s="45">
        <v>1</v>
      </c>
      <c r="AO24" s="45" t="s">
        <v>676</v>
      </c>
    </row>
    <row r="25" spans="1:41" s="40" customFormat="1">
      <c r="A25" s="90" t="s">
        <v>677</v>
      </c>
      <c r="B25" s="90" t="s">
        <v>17</v>
      </c>
      <c r="C25" s="90" t="s">
        <v>772</v>
      </c>
      <c r="D25" s="45">
        <f t="shared" si="0"/>
        <v>75</v>
      </c>
      <c r="E25" s="67">
        <v>44921</v>
      </c>
      <c r="F25" s="67">
        <v>44996</v>
      </c>
      <c r="G25" s="67" t="s">
        <v>1420</v>
      </c>
      <c r="H25" s="45">
        <v>0</v>
      </c>
      <c r="I25" s="45">
        <v>4</v>
      </c>
      <c r="J25" s="45">
        <v>0</v>
      </c>
      <c r="K25" s="45">
        <v>0</v>
      </c>
      <c r="L25" s="45">
        <v>0</v>
      </c>
      <c r="M25" s="45">
        <v>0</v>
      </c>
      <c r="N25" s="60">
        <v>7.3845162865764902</v>
      </c>
      <c r="O25" s="45">
        <v>0</v>
      </c>
      <c r="P25" s="45">
        <v>1</v>
      </c>
      <c r="Q25" s="45">
        <v>0</v>
      </c>
      <c r="R25" s="45" t="s">
        <v>679</v>
      </c>
      <c r="S25" s="45">
        <v>32</v>
      </c>
      <c r="T25" s="45">
        <v>6</v>
      </c>
      <c r="U25" s="45">
        <v>302</v>
      </c>
      <c r="V25" s="45">
        <v>5</v>
      </c>
      <c r="W25" s="45">
        <v>6</v>
      </c>
      <c r="X25" s="45">
        <v>0</v>
      </c>
      <c r="Y25" s="45">
        <v>3</v>
      </c>
      <c r="Z25" s="60">
        <v>1.3194332382088401</v>
      </c>
      <c r="AA25" s="68">
        <v>3</v>
      </c>
      <c r="AB25" s="68">
        <v>2</v>
      </c>
      <c r="AC25" s="68">
        <v>0</v>
      </c>
      <c r="AD25" s="45" t="s">
        <v>678</v>
      </c>
      <c r="AE25" s="45">
        <v>25</v>
      </c>
      <c r="AF25" s="45">
        <f>24-7</f>
        <v>17</v>
      </c>
      <c r="AG25" s="45">
        <v>1</v>
      </c>
      <c r="AH25" s="45">
        <v>0</v>
      </c>
      <c r="AI25" s="45">
        <v>0</v>
      </c>
      <c r="AJ25" s="45">
        <v>0</v>
      </c>
      <c r="AK25" s="60">
        <v>11.694183036188001</v>
      </c>
      <c r="AL25" s="45">
        <v>2</v>
      </c>
      <c r="AM25" s="45">
        <v>2</v>
      </c>
      <c r="AN25" s="45">
        <v>1</v>
      </c>
      <c r="AO25" s="45" t="s">
        <v>680</v>
      </c>
    </row>
    <row r="26" spans="1:41" s="40" customFormat="1">
      <c r="A26" s="90" t="s">
        <v>681</v>
      </c>
      <c r="B26" s="90" t="s">
        <v>17</v>
      </c>
      <c r="C26" s="90" t="s">
        <v>772</v>
      </c>
      <c r="D26" s="45">
        <f t="shared" si="0"/>
        <v>75</v>
      </c>
      <c r="E26" s="67">
        <v>44921</v>
      </c>
      <c r="F26" s="67">
        <v>44996</v>
      </c>
      <c r="G26" s="67" t="s">
        <v>1421</v>
      </c>
      <c r="H26" s="45">
        <v>0</v>
      </c>
      <c r="I26" s="45">
        <v>7</v>
      </c>
      <c r="J26" s="45">
        <v>0</v>
      </c>
      <c r="K26" s="45">
        <v>0</v>
      </c>
      <c r="L26" s="45">
        <v>0</v>
      </c>
      <c r="M26" s="45">
        <v>0</v>
      </c>
      <c r="N26" s="60">
        <v>14.631610843558599</v>
      </c>
      <c r="O26" s="45">
        <v>0</v>
      </c>
      <c r="P26" s="45">
        <v>1</v>
      </c>
      <c r="Q26" s="45">
        <v>1</v>
      </c>
      <c r="R26" s="45" t="s">
        <v>683</v>
      </c>
      <c r="S26" s="180">
        <v>8</v>
      </c>
      <c r="T26" s="45">
        <v>4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60">
        <v>1.34850972652844</v>
      </c>
      <c r="AA26" s="68">
        <v>0</v>
      </c>
      <c r="AB26" s="68">
        <v>1</v>
      </c>
      <c r="AC26" s="68">
        <v>0</v>
      </c>
      <c r="AD26" s="45" t="s">
        <v>682</v>
      </c>
      <c r="AE26" s="45">
        <v>31</v>
      </c>
      <c r="AF26" s="45">
        <f>180+39</f>
        <v>219</v>
      </c>
      <c r="AG26" s="45">
        <v>4</v>
      </c>
      <c r="AH26" s="45">
        <v>5</v>
      </c>
      <c r="AI26" s="45">
        <v>0</v>
      </c>
      <c r="AJ26" s="45">
        <v>0</v>
      </c>
      <c r="AK26" s="60">
        <v>6.1804800448966697</v>
      </c>
      <c r="AL26" s="45">
        <v>1</v>
      </c>
      <c r="AM26" s="45">
        <v>1</v>
      </c>
      <c r="AN26" s="45">
        <v>2</v>
      </c>
      <c r="AO26" s="45" t="s">
        <v>684</v>
      </c>
    </row>
    <row r="27" spans="1:41" s="40" customFormat="1">
      <c r="A27" s="90" t="s">
        <v>685</v>
      </c>
      <c r="B27" s="90" t="s">
        <v>41</v>
      </c>
      <c r="C27" s="90" t="s">
        <v>772</v>
      </c>
      <c r="D27" s="45">
        <f t="shared" si="0"/>
        <v>433</v>
      </c>
      <c r="E27" s="67">
        <v>44563</v>
      </c>
      <c r="F27" s="67">
        <v>44996</v>
      </c>
      <c r="G27" s="67" t="s">
        <v>1420</v>
      </c>
      <c r="H27" s="45">
        <v>0</v>
      </c>
      <c r="I27" s="45">
        <v>6</v>
      </c>
      <c r="J27" s="45">
        <v>1</v>
      </c>
      <c r="K27" s="45">
        <v>0</v>
      </c>
      <c r="L27" s="45">
        <v>0</v>
      </c>
      <c r="M27" s="45">
        <v>0</v>
      </c>
      <c r="N27" s="60">
        <v>3.15198201174552</v>
      </c>
      <c r="O27" s="45">
        <v>1</v>
      </c>
      <c r="P27" s="45">
        <v>2</v>
      </c>
      <c r="Q27" s="45">
        <v>1</v>
      </c>
      <c r="R27" s="45" t="s">
        <v>687</v>
      </c>
      <c r="S27" s="45">
        <f>57-12</f>
        <v>45</v>
      </c>
      <c r="T27" s="45">
        <v>4</v>
      </c>
      <c r="U27" s="45">
        <v>348</v>
      </c>
      <c r="V27" s="45">
        <v>6</v>
      </c>
      <c r="W27" s="45">
        <v>6</v>
      </c>
      <c r="X27" s="45">
        <v>0</v>
      </c>
      <c r="Y27" s="45">
        <v>2</v>
      </c>
      <c r="Z27" s="60">
        <v>3.4778137952075001</v>
      </c>
      <c r="AA27" s="45">
        <v>2</v>
      </c>
      <c r="AB27" s="45">
        <v>3</v>
      </c>
      <c r="AC27" s="45">
        <v>1</v>
      </c>
      <c r="AD27" s="45" t="s">
        <v>686</v>
      </c>
      <c r="AE27" s="45">
        <v>70</v>
      </c>
      <c r="AF27" s="45">
        <f>7*60-2</f>
        <v>418</v>
      </c>
      <c r="AG27" s="45">
        <v>2</v>
      </c>
      <c r="AH27" s="45">
        <v>2</v>
      </c>
      <c r="AI27" s="45">
        <v>1</v>
      </c>
      <c r="AJ27" s="45">
        <v>1</v>
      </c>
      <c r="AK27" s="60">
        <v>1.9154879323713501</v>
      </c>
      <c r="AL27" s="45">
        <v>3</v>
      </c>
      <c r="AM27" s="45">
        <v>3</v>
      </c>
      <c r="AN27" s="45">
        <v>2</v>
      </c>
      <c r="AO27" s="45" t="s">
        <v>688</v>
      </c>
    </row>
    <row r="28" spans="1:41" s="40" customFormat="1">
      <c r="A28" s="90" t="s">
        <v>689</v>
      </c>
      <c r="B28" s="90" t="s">
        <v>17</v>
      </c>
      <c r="C28" s="90" t="s">
        <v>772</v>
      </c>
      <c r="D28" s="45">
        <f t="shared" si="0"/>
        <v>101</v>
      </c>
      <c r="E28" s="177">
        <v>44897</v>
      </c>
      <c r="F28" s="177">
        <v>44998</v>
      </c>
      <c r="G28" s="67" t="s">
        <v>1420</v>
      </c>
      <c r="H28" s="45">
        <v>0</v>
      </c>
      <c r="I28" s="45">
        <v>18</v>
      </c>
      <c r="J28" s="45">
        <v>0</v>
      </c>
      <c r="K28" s="45">
        <v>0</v>
      </c>
      <c r="L28" s="45">
        <v>0</v>
      </c>
      <c r="M28" s="45">
        <v>0</v>
      </c>
      <c r="N28" s="60">
        <v>7.2909502213149402</v>
      </c>
      <c r="O28" s="45">
        <v>0</v>
      </c>
      <c r="P28" s="45">
        <v>1</v>
      </c>
      <c r="Q28" s="45">
        <v>0</v>
      </c>
      <c r="R28" s="45" t="s">
        <v>691</v>
      </c>
      <c r="S28" s="45">
        <f>73-27</f>
        <v>46</v>
      </c>
      <c r="T28" s="45">
        <v>27</v>
      </c>
      <c r="U28" s="45">
        <v>2</v>
      </c>
      <c r="V28" s="45">
        <v>0</v>
      </c>
      <c r="W28" s="45">
        <v>0</v>
      </c>
      <c r="X28" s="45">
        <v>0</v>
      </c>
      <c r="Y28" s="45">
        <v>0</v>
      </c>
      <c r="Z28" s="60">
        <v>14.889688734175101</v>
      </c>
      <c r="AA28" s="68">
        <v>2</v>
      </c>
      <c r="AB28" s="68">
        <v>1</v>
      </c>
      <c r="AC28" s="68">
        <v>1</v>
      </c>
      <c r="AD28" s="45" t="s">
        <v>690</v>
      </c>
      <c r="AE28" s="45">
        <v>125</v>
      </c>
      <c r="AF28" s="45">
        <v>4</v>
      </c>
      <c r="AG28" s="45">
        <v>0</v>
      </c>
      <c r="AH28" s="45">
        <v>0</v>
      </c>
      <c r="AI28" s="45">
        <v>0</v>
      </c>
      <c r="AJ28" s="45">
        <v>0</v>
      </c>
      <c r="AK28" s="60">
        <v>9.1564594057466007</v>
      </c>
      <c r="AL28" s="45">
        <v>0</v>
      </c>
      <c r="AM28" s="45">
        <v>1</v>
      </c>
      <c r="AN28" s="45">
        <v>0</v>
      </c>
      <c r="AO28" s="45" t="s">
        <v>692</v>
      </c>
    </row>
    <row r="29" spans="1:41" s="40" customFormat="1">
      <c r="A29" s="90" t="s">
        <v>693</v>
      </c>
      <c r="B29" s="90"/>
      <c r="C29" s="90" t="s">
        <v>772</v>
      </c>
      <c r="D29" s="45"/>
      <c r="E29" s="45"/>
      <c r="F29" s="177">
        <v>45008</v>
      </c>
      <c r="G29" s="67" t="s">
        <v>1421</v>
      </c>
      <c r="H29" s="45">
        <v>0</v>
      </c>
      <c r="I29" s="45">
        <v>92</v>
      </c>
      <c r="J29" s="45">
        <v>1</v>
      </c>
      <c r="K29" s="45">
        <v>1</v>
      </c>
      <c r="L29" s="45">
        <v>0</v>
      </c>
      <c r="M29" s="45">
        <v>0</v>
      </c>
      <c r="N29" s="60">
        <v>7.8514827514346299</v>
      </c>
      <c r="O29" s="45">
        <v>2</v>
      </c>
      <c r="P29" s="45">
        <v>2</v>
      </c>
      <c r="Q29" s="45">
        <v>1</v>
      </c>
      <c r="R29" s="45" t="s">
        <v>695</v>
      </c>
      <c r="S29" s="45">
        <v>24</v>
      </c>
      <c r="T29" s="45">
        <v>18</v>
      </c>
      <c r="U29" s="23">
        <v>300</v>
      </c>
      <c r="V29" s="23">
        <v>2</v>
      </c>
      <c r="W29" s="45">
        <v>2</v>
      </c>
      <c r="X29" s="45">
        <v>0</v>
      </c>
      <c r="Y29" s="45">
        <v>1</v>
      </c>
      <c r="Z29" s="60">
        <v>3.7979853672643999</v>
      </c>
      <c r="AA29" s="68">
        <v>0</v>
      </c>
      <c r="AB29" s="68">
        <v>1</v>
      </c>
      <c r="AC29" s="68">
        <v>1</v>
      </c>
      <c r="AD29" s="45" t="s">
        <v>694</v>
      </c>
      <c r="AE29" s="45">
        <v>9</v>
      </c>
      <c r="AF29" s="45">
        <f>4*60</f>
        <v>240</v>
      </c>
      <c r="AG29" s="45">
        <v>1</v>
      </c>
      <c r="AH29" s="45">
        <v>2</v>
      </c>
      <c r="AI29" s="45">
        <v>0</v>
      </c>
      <c r="AJ29" s="45">
        <v>1</v>
      </c>
      <c r="AK29" s="60">
        <v>1.8370371059697399</v>
      </c>
      <c r="AL29" s="45">
        <v>0</v>
      </c>
      <c r="AM29" s="45">
        <v>1</v>
      </c>
      <c r="AN29" s="45">
        <v>0</v>
      </c>
      <c r="AO29" s="45" t="s">
        <v>696</v>
      </c>
    </row>
    <row r="30" spans="1:41" s="40" customFormat="1">
      <c r="A30" s="90" t="s">
        <v>697</v>
      </c>
      <c r="B30" s="90"/>
      <c r="C30" s="90" t="s">
        <v>772</v>
      </c>
      <c r="D30" s="45"/>
      <c r="E30" s="45"/>
      <c r="F30" s="177">
        <v>45008</v>
      </c>
      <c r="G30" s="67" t="s">
        <v>1421</v>
      </c>
      <c r="H30" s="45">
        <v>0</v>
      </c>
      <c r="I30" s="45">
        <v>93</v>
      </c>
      <c r="J30" s="45">
        <v>2</v>
      </c>
      <c r="K30" s="45">
        <v>1</v>
      </c>
      <c r="L30" s="45">
        <v>0</v>
      </c>
      <c r="M30" s="45">
        <v>2</v>
      </c>
      <c r="N30" s="60">
        <v>4.3278296662507403</v>
      </c>
      <c r="O30" s="45">
        <v>1</v>
      </c>
      <c r="P30" s="45">
        <v>1</v>
      </c>
      <c r="Q30" s="45">
        <v>1</v>
      </c>
      <c r="R30" s="45" t="s">
        <v>699</v>
      </c>
      <c r="S30" s="45">
        <v>3</v>
      </c>
      <c r="T30" s="45">
        <v>2</v>
      </c>
      <c r="U30" s="23">
        <v>130</v>
      </c>
      <c r="V30" s="23">
        <v>0</v>
      </c>
      <c r="W30" s="45">
        <v>1</v>
      </c>
      <c r="X30" s="45">
        <v>0</v>
      </c>
      <c r="Y30" s="45">
        <v>0</v>
      </c>
      <c r="Z30" s="60">
        <v>13.188582392131</v>
      </c>
      <c r="AA30" s="45">
        <v>0</v>
      </c>
      <c r="AB30" s="45">
        <v>1</v>
      </c>
      <c r="AC30" s="45">
        <v>0</v>
      </c>
      <c r="AD30" s="45" t="s">
        <v>698</v>
      </c>
      <c r="AE30" s="45">
        <v>34</v>
      </c>
      <c r="AF30" s="45">
        <v>4</v>
      </c>
      <c r="AG30" s="45">
        <v>0</v>
      </c>
      <c r="AH30" s="45">
        <v>0</v>
      </c>
      <c r="AI30" s="45">
        <v>0</v>
      </c>
      <c r="AJ30" s="45">
        <v>0</v>
      </c>
      <c r="AK30" s="60">
        <v>6.3271983380329404</v>
      </c>
      <c r="AL30" s="45">
        <v>0</v>
      </c>
      <c r="AM30" s="45">
        <v>1</v>
      </c>
      <c r="AN30" s="45">
        <v>0</v>
      </c>
      <c r="AO30" s="45" t="s">
        <v>700</v>
      </c>
    </row>
    <row r="31" spans="1:41" s="40" customFormat="1">
      <c r="A31" s="90" t="s">
        <v>701</v>
      </c>
      <c r="B31" s="90" t="s">
        <v>41</v>
      </c>
      <c r="C31" s="90" t="s">
        <v>772</v>
      </c>
      <c r="D31" s="45">
        <f>F31-E31</f>
        <v>65</v>
      </c>
      <c r="E31" s="67">
        <v>44665</v>
      </c>
      <c r="F31" s="67">
        <v>44730</v>
      </c>
      <c r="G31" s="67" t="s">
        <v>1421</v>
      </c>
      <c r="H31" s="45">
        <v>0</v>
      </c>
      <c r="I31" s="45">
        <v>118</v>
      </c>
      <c r="J31" s="45">
        <v>4</v>
      </c>
      <c r="K31" s="45">
        <v>2</v>
      </c>
      <c r="L31" s="45">
        <v>0</v>
      </c>
      <c r="M31" s="45">
        <v>1</v>
      </c>
      <c r="N31" s="60">
        <v>1.0239149005191399</v>
      </c>
      <c r="O31" s="45">
        <v>0</v>
      </c>
      <c r="P31" s="45">
        <v>1</v>
      </c>
      <c r="Q31" s="45">
        <v>0</v>
      </c>
      <c r="R31" s="45" t="s">
        <v>702</v>
      </c>
      <c r="S31" s="45">
        <v>22</v>
      </c>
      <c r="T31" s="45">
        <v>14</v>
      </c>
      <c r="U31" s="45">
        <v>600</v>
      </c>
      <c r="V31" s="45">
        <v>5</v>
      </c>
      <c r="W31" s="45">
        <v>7</v>
      </c>
      <c r="X31" s="45">
        <v>4</v>
      </c>
      <c r="Y31" s="45">
        <v>0</v>
      </c>
      <c r="Z31" s="60" t="s">
        <v>25</v>
      </c>
      <c r="AA31" s="68">
        <v>5</v>
      </c>
      <c r="AB31" s="68">
        <v>5</v>
      </c>
      <c r="AC31" s="68">
        <v>5</v>
      </c>
      <c r="AD31" s="45" t="s">
        <v>173</v>
      </c>
      <c r="AE31" s="45"/>
      <c r="AF31" s="45">
        <v>600</v>
      </c>
      <c r="AG31" s="45">
        <v>5</v>
      </c>
      <c r="AH31" s="45">
        <v>6</v>
      </c>
      <c r="AI31" s="45">
        <v>3</v>
      </c>
      <c r="AJ31" s="45">
        <v>0</v>
      </c>
      <c r="AK31" s="60" t="s">
        <v>25</v>
      </c>
      <c r="AL31" s="68">
        <v>5</v>
      </c>
      <c r="AM31" s="68">
        <v>5</v>
      </c>
      <c r="AN31" s="68">
        <v>5</v>
      </c>
      <c r="AO31" s="45" t="s">
        <v>173</v>
      </c>
    </row>
    <row r="32" spans="1:41" s="40" customFormat="1">
      <c r="A32" s="90" t="s">
        <v>703</v>
      </c>
      <c r="B32" s="90" t="s">
        <v>41</v>
      </c>
      <c r="C32" s="90" t="s">
        <v>772</v>
      </c>
      <c r="D32" s="45">
        <f>F32-E32</f>
        <v>82</v>
      </c>
      <c r="E32" s="67">
        <v>44757</v>
      </c>
      <c r="F32" s="67">
        <v>44839</v>
      </c>
      <c r="G32" s="67" t="s">
        <v>1421</v>
      </c>
      <c r="H32" s="45">
        <v>0</v>
      </c>
      <c r="I32" s="45">
        <v>84</v>
      </c>
      <c r="J32" s="45">
        <v>2</v>
      </c>
      <c r="K32" s="45">
        <v>3</v>
      </c>
      <c r="L32" s="45">
        <v>0</v>
      </c>
      <c r="M32" s="45">
        <v>0</v>
      </c>
      <c r="N32" s="60">
        <v>5.4752406366663697</v>
      </c>
      <c r="O32" s="45">
        <v>2</v>
      </c>
      <c r="P32" s="45">
        <v>1</v>
      </c>
      <c r="Q32" s="45">
        <v>1</v>
      </c>
      <c r="R32" s="45" t="s">
        <v>704</v>
      </c>
      <c r="S32" s="45">
        <v>10</v>
      </c>
      <c r="T32" s="45">
        <v>6</v>
      </c>
      <c r="U32" s="45">
        <v>600</v>
      </c>
      <c r="V32" s="45">
        <v>7</v>
      </c>
      <c r="W32" s="45">
        <v>8</v>
      </c>
      <c r="X32" s="45">
        <v>0</v>
      </c>
      <c r="Y32" s="45">
        <v>4</v>
      </c>
      <c r="Z32" s="60" t="s">
        <v>25</v>
      </c>
      <c r="AA32" s="68">
        <v>5</v>
      </c>
      <c r="AB32" s="68">
        <v>5</v>
      </c>
      <c r="AC32" s="68">
        <v>5</v>
      </c>
      <c r="AD32" s="45" t="s">
        <v>42</v>
      </c>
      <c r="AE32" s="45"/>
      <c r="AF32" s="45">
        <v>70</v>
      </c>
      <c r="AG32" s="45">
        <v>2</v>
      </c>
      <c r="AH32" s="45">
        <v>2</v>
      </c>
      <c r="AI32" s="45">
        <v>1</v>
      </c>
      <c r="AJ32" s="45">
        <v>1</v>
      </c>
      <c r="AK32" s="60">
        <v>5.2730154374278104</v>
      </c>
      <c r="AL32" s="45">
        <v>3</v>
      </c>
      <c r="AM32" s="45">
        <v>3</v>
      </c>
      <c r="AN32" s="45">
        <v>2</v>
      </c>
      <c r="AO32" s="45" t="s">
        <v>705</v>
      </c>
    </row>
    <row r="33" spans="1:41" s="40" customFormat="1">
      <c r="A33" s="45" t="s">
        <v>710</v>
      </c>
      <c r="B33" s="90" t="s">
        <v>41</v>
      </c>
      <c r="C33" s="90" t="s">
        <v>772</v>
      </c>
      <c r="D33" s="45"/>
      <c r="E33" s="45"/>
      <c r="F33" s="45"/>
      <c r="G33" s="30" t="s">
        <v>1420</v>
      </c>
      <c r="H33" s="45">
        <v>0</v>
      </c>
      <c r="I33" s="45">
        <v>30</v>
      </c>
      <c r="J33" s="45">
        <v>1</v>
      </c>
      <c r="K33" s="45">
        <v>0</v>
      </c>
      <c r="L33" s="45">
        <v>0</v>
      </c>
      <c r="M33" s="45">
        <v>0</v>
      </c>
      <c r="N33" s="146">
        <v>8.1656649552211693</v>
      </c>
      <c r="O33" s="45">
        <v>0</v>
      </c>
      <c r="P33" s="45">
        <v>1</v>
      </c>
      <c r="Q33" s="45">
        <v>0</v>
      </c>
      <c r="R33" s="45" t="s">
        <v>711</v>
      </c>
      <c r="S33" s="45">
        <v>237</v>
      </c>
      <c r="T33" s="45">
        <v>52</v>
      </c>
      <c r="U33" s="45">
        <v>600</v>
      </c>
      <c r="V33" s="45">
        <v>7</v>
      </c>
      <c r="W33" s="45">
        <v>8</v>
      </c>
      <c r="X33" s="45">
        <v>1</v>
      </c>
      <c r="Y33" s="45">
        <v>0</v>
      </c>
      <c r="Z33" s="146" t="s">
        <v>25</v>
      </c>
      <c r="AA33" s="45">
        <v>5</v>
      </c>
      <c r="AB33" s="45">
        <v>5</v>
      </c>
      <c r="AC33" s="45">
        <v>5</v>
      </c>
      <c r="AD33" s="45" t="s">
        <v>173</v>
      </c>
      <c r="AE33" s="45">
        <v>0</v>
      </c>
      <c r="AF33" s="45">
        <v>600</v>
      </c>
      <c r="AG33" s="45">
        <v>10</v>
      </c>
      <c r="AH33" s="45">
        <v>13</v>
      </c>
      <c r="AI33" s="45">
        <v>6</v>
      </c>
      <c r="AJ33" s="45">
        <v>1</v>
      </c>
      <c r="AK33" s="146" t="s">
        <v>25</v>
      </c>
      <c r="AL33" s="45">
        <v>5</v>
      </c>
      <c r="AM33" s="45">
        <v>5</v>
      </c>
      <c r="AN33" s="45">
        <v>5</v>
      </c>
      <c r="AO33" s="45" t="s">
        <v>624</v>
      </c>
    </row>
    <row r="34" spans="1:41" s="40" customFormat="1">
      <c r="A34" s="45" t="s">
        <v>712</v>
      </c>
      <c r="B34" s="90" t="s">
        <v>41</v>
      </c>
      <c r="C34" s="90" t="s">
        <v>772</v>
      </c>
      <c r="D34" s="45"/>
      <c r="E34" s="45"/>
      <c r="F34" s="45"/>
      <c r="G34" s="30" t="s">
        <v>1420</v>
      </c>
      <c r="H34" s="45">
        <v>0</v>
      </c>
      <c r="I34" s="45">
        <f>31-7</f>
        <v>24</v>
      </c>
      <c r="J34" s="45">
        <v>0</v>
      </c>
      <c r="K34" s="45">
        <v>0</v>
      </c>
      <c r="L34" s="45">
        <v>0</v>
      </c>
      <c r="M34" s="45">
        <v>1</v>
      </c>
      <c r="N34" s="146">
        <v>9.6537406992210499</v>
      </c>
      <c r="O34" s="45">
        <v>0</v>
      </c>
      <c r="P34" s="45">
        <v>1</v>
      </c>
      <c r="Q34" s="45">
        <v>0</v>
      </c>
      <c r="R34" s="45" t="s">
        <v>714</v>
      </c>
      <c r="S34" s="45">
        <f>128-31</f>
        <v>97</v>
      </c>
      <c r="T34" s="45">
        <v>36</v>
      </c>
      <c r="U34" s="45">
        <f>25-8</f>
        <v>17</v>
      </c>
      <c r="V34" s="45">
        <v>3</v>
      </c>
      <c r="W34" s="45">
        <v>2</v>
      </c>
      <c r="X34" s="45">
        <v>0</v>
      </c>
      <c r="Y34" s="45">
        <v>1</v>
      </c>
      <c r="Z34" s="146">
        <v>7.87263031979787</v>
      </c>
      <c r="AA34" s="45">
        <v>2</v>
      </c>
      <c r="AB34" s="45">
        <v>3</v>
      </c>
      <c r="AC34" s="45">
        <v>3</v>
      </c>
      <c r="AD34" s="45" t="s">
        <v>713</v>
      </c>
      <c r="AE34" s="45">
        <f>363-25</f>
        <v>338</v>
      </c>
      <c r="AF34" s="45">
        <v>84</v>
      </c>
      <c r="AG34" s="45">
        <v>6</v>
      </c>
      <c r="AH34" s="45">
        <v>3</v>
      </c>
      <c r="AI34" s="45">
        <v>0</v>
      </c>
      <c r="AJ34" s="45">
        <v>2</v>
      </c>
      <c r="AK34" s="146">
        <v>6.2495086531373296</v>
      </c>
      <c r="AL34" s="45">
        <v>0</v>
      </c>
      <c r="AM34" s="45">
        <v>2</v>
      </c>
      <c r="AN34" s="45">
        <v>0</v>
      </c>
      <c r="AO34" s="45" t="s">
        <v>715</v>
      </c>
    </row>
    <row r="35" spans="1:41" s="40" customFormat="1">
      <c r="A35" s="45" t="s">
        <v>716</v>
      </c>
      <c r="B35" s="90" t="s">
        <v>41</v>
      </c>
      <c r="C35" s="90" t="s">
        <v>772</v>
      </c>
      <c r="D35" s="45"/>
      <c r="E35" s="45"/>
      <c r="F35" s="45"/>
      <c r="G35" s="30" t="s">
        <v>1420</v>
      </c>
      <c r="H35" s="45">
        <v>0</v>
      </c>
      <c r="I35" s="45">
        <v>4</v>
      </c>
      <c r="J35" s="45">
        <v>0</v>
      </c>
      <c r="K35" s="45">
        <v>0</v>
      </c>
      <c r="L35" s="45">
        <v>0</v>
      </c>
      <c r="M35" s="45">
        <v>0</v>
      </c>
      <c r="N35" s="146">
        <v>2.3034681933851102</v>
      </c>
      <c r="O35" s="45">
        <v>0</v>
      </c>
      <c r="P35" s="45">
        <v>1</v>
      </c>
      <c r="Q35" s="45">
        <v>0</v>
      </c>
      <c r="R35" s="45" t="s">
        <v>718</v>
      </c>
      <c r="S35" s="45">
        <f>254-11</f>
        <v>243</v>
      </c>
      <c r="T35" s="45">
        <v>105</v>
      </c>
      <c r="U35" s="45">
        <f>141</f>
        <v>141</v>
      </c>
      <c r="V35" s="45">
        <v>4</v>
      </c>
      <c r="W35" s="45">
        <v>7</v>
      </c>
      <c r="X35" s="45">
        <v>0</v>
      </c>
      <c r="Y35" s="45">
        <v>2</v>
      </c>
      <c r="Z35" s="146">
        <v>5.8766912853513604</v>
      </c>
      <c r="AA35" s="45">
        <v>0</v>
      </c>
      <c r="AB35" s="45">
        <v>1</v>
      </c>
      <c r="AC35" s="45">
        <v>0</v>
      </c>
      <c r="AD35" s="45" t="s">
        <v>717</v>
      </c>
      <c r="AE35" s="45">
        <v>3</v>
      </c>
      <c r="AF35" s="45">
        <v>600</v>
      </c>
      <c r="AG35" s="45">
        <v>17</v>
      </c>
      <c r="AH35" s="45">
        <v>14</v>
      </c>
      <c r="AI35" s="45">
        <v>1</v>
      </c>
      <c r="AJ35" s="45">
        <v>12</v>
      </c>
      <c r="AK35" s="146" t="s">
        <v>25</v>
      </c>
      <c r="AL35" s="45">
        <v>5</v>
      </c>
      <c r="AM35" s="45">
        <v>5</v>
      </c>
      <c r="AN35" s="45">
        <v>5</v>
      </c>
      <c r="AO35" s="45" t="s">
        <v>26</v>
      </c>
    </row>
    <row r="36" spans="1:41" s="40" customFormat="1">
      <c r="A36" s="45" t="s">
        <v>722</v>
      </c>
      <c r="B36" s="90" t="s">
        <v>41</v>
      </c>
      <c r="C36" s="90" t="s">
        <v>772</v>
      </c>
      <c r="D36" s="45"/>
      <c r="E36" s="45"/>
      <c r="F36" s="45"/>
      <c r="G36" s="30" t="s">
        <v>1421</v>
      </c>
      <c r="H36" s="45">
        <v>0</v>
      </c>
      <c r="I36" s="45">
        <f>45-7</f>
        <v>38</v>
      </c>
      <c r="J36" s="45">
        <v>2</v>
      </c>
      <c r="K36" s="45">
        <v>0</v>
      </c>
      <c r="L36" s="45">
        <v>0</v>
      </c>
      <c r="M36" s="45">
        <v>1</v>
      </c>
      <c r="N36" s="146">
        <v>1.7677417525893599</v>
      </c>
      <c r="O36" s="45">
        <v>1</v>
      </c>
      <c r="P36" s="45">
        <v>3</v>
      </c>
      <c r="Q36" s="45">
        <v>1</v>
      </c>
      <c r="R36" s="45" t="s">
        <v>724</v>
      </c>
      <c r="S36" s="45">
        <v>2</v>
      </c>
      <c r="T36" s="45">
        <v>0.3</v>
      </c>
      <c r="U36" s="45">
        <f>131-7</f>
        <v>124</v>
      </c>
      <c r="V36" s="45">
        <v>2</v>
      </c>
      <c r="W36" s="45">
        <v>2</v>
      </c>
      <c r="X36" s="45">
        <v>1</v>
      </c>
      <c r="Y36" s="45">
        <v>1</v>
      </c>
      <c r="Z36" s="146">
        <v>4.4384032321472704</v>
      </c>
      <c r="AA36" s="45">
        <v>3</v>
      </c>
      <c r="AB36" s="45">
        <v>3</v>
      </c>
      <c r="AC36" s="45">
        <v>1</v>
      </c>
      <c r="AD36" s="45" t="s">
        <v>723</v>
      </c>
      <c r="AE36" s="45">
        <f>4*60+46-131</f>
        <v>155</v>
      </c>
      <c r="AF36" s="45">
        <v>600</v>
      </c>
      <c r="AG36" s="45">
        <v>6</v>
      </c>
      <c r="AH36" s="45">
        <v>5</v>
      </c>
      <c r="AI36" s="45">
        <v>2</v>
      </c>
      <c r="AJ36" s="45">
        <v>4</v>
      </c>
      <c r="AK36" s="146" t="s">
        <v>25</v>
      </c>
      <c r="AL36" s="45">
        <v>5</v>
      </c>
      <c r="AM36" s="45">
        <v>5</v>
      </c>
      <c r="AN36" s="45">
        <v>5</v>
      </c>
      <c r="AO36" s="45" t="s">
        <v>26</v>
      </c>
    </row>
    <row r="37" spans="1:41" s="40" customFormat="1">
      <c r="A37" s="83" t="s">
        <v>725</v>
      </c>
      <c r="B37" s="161" t="s">
        <v>41</v>
      </c>
      <c r="C37" s="90" t="s">
        <v>772</v>
      </c>
      <c r="D37" s="83"/>
      <c r="E37" s="83"/>
      <c r="F37" s="83"/>
      <c r="G37" s="149" t="s">
        <v>1420</v>
      </c>
      <c r="H37" s="83">
        <v>0</v>
      </c>
      <c r="I37" s="149">
        <v>6</v>
      </c>
      <c r="J37" s="148">
        <v>0</v>
      </c>
      <c r="K37" s="149">
        <v>0</v>
      </c>
      <c r="L37" s="149">
        <v>0</v>
      </c>
      <c r="M37" s="149">
        <v>0</v>
      </c>
      <c r="N37" s="150">
        <v>6.1446801999473699</v>
      </c>
      <c r="O37" s="149">
        <v>0</v>
      </c>
      <c r="P37" s="149">
        <v>1</v>
      </c>
      <c r="Q37" s="149">
        <v>0</v>
      </c>
      <c r="R37" s="83" t="s">
        <v>727</v>
      </c>
      <c r="S37" s="45">
        <v>287</v>
      </c>
      <c r="T37" s="83">
        <v>70</v>
      </c>
      <c r="U37" s="149">
        <v>452</v>
      </c>
      <c r="V37" s="149">
        <v>11</v>
      </c>
      <c r="W37" s="149">
        <v>10</v>
      </c>
      <c r="X37" s="149">
        <v>2</v>
      </c>
      <c r="Y37" s="149">
        <v>2</v>
      </c>
      <c r="Z37" s="150">
        <v>2.0323065265884002</v>
      </c>
      <c r="AA37" s="149">
        <v>1</v>
      </c>
      <c r="AB37" s="149">
        <v>1</v>
      </c>
      <c r="AC37" s="149">
        <v>0</v>
      </c>
      <c r="AD37" s="83" t="s">
        <v>726</v>
      </c>
      <c r="AE37" s="149">
        <v>19</v>
      </c>
      <c r="AF37" s="83">
        <v>600</v>
      </c>
      <c r="AG37" s="83">
        <v>13</v>
      </c>
      <c r="AH37" s="83">
        <v>10</v>
      </c>
      <c r="AI37" s="83">
        <v>3</v>
      </c>
      <c r="AJ37" s="83">
        <v>6</v>
      </c>
      <c r="AK37" s="146" t="s">
        <v>25</v>
      </c>
      <c r="AL37" s="83">
        <v>5</v>
      </c>
      <c r="AM37" s="83">
        <v>5</v>
      </c>
      <c r="AN37" s="83">
        <v>5</v>
      </c>
      <c r="AO37" s="83" t="s">
        <v>26</v>
      </c>
    </row>
    <row r="38" spans="1:41" s="40" customFormat="1">
      <c r="A38" s="83" t="s">
        <v>728</v>
      </c>
      <c r="B38" s="161" t="s">
        <v>41</v>
      </c>
      <c r="C38" s="90" t="s">
        <v>772</v>
      </c>
      <c r="D38" s="83"/>
      <c r="E38" s="83"/>
      <c r="F38" s="83"/>
      <c r="G38" s="149" t="s">
        <v>1421</v>
      </c>
      <c r="H38" s="83">
        <v>0</v>
      </c>
      <c r="I38" s="149">
        <v>5</v>
      </c>
      <c r="J38" s="148">
        <v>0</v>
      </c>
      <c r="K38" s="149">
        <v>0</v>
      </c>
      <c r="L38" s="149">
        <v>0</v>
      </c>
      <c r="M38" s="149">
        <v>0</v>
      </c>
      <c r="N38" s="150">
        <v>6.6443623973333796</v>
      </c>
      <c r="O38" s="149">
        <v>0</v>
      </c>
      <c r="P38" s="149">
        <v>1</v>
      </c>
      <c r="Q38" s="149">
        <v>0</v>
      </c>
      <c r="R38" s="83" t="s">
        <v>730</v>
      </c>
      <c r="S38" s="45">
        <v>8</v>
      </c>
      <c r="T38" s="149">
        <v>3.5</v>
      </c>
      <c r="U38" s="149">
        <v>3</v>
      </c>
      <c r="V38" s="149">
        <v>0</v>
      </c>
      <c r="W38" s="149">
        <v>0</v>
      </c>
      <c r="X38" s="149">
        <v>0</v>
      </c>
      <c r="Y38" s="149">
        <v>0</v>
      </c>
      <c r="Z38" s="150">
        <v>11.1819818418738</v>
      </c>
      <c r="AA38" s="149">
        <v>0</v>
      </c>
      <c r="AB38" s="149">
        <v>1</v>
      </c>
      <c r="AC38" s="149">
        <v>0</v>
      </c>
      <c r="AD38" s="83" t="s">
        <v>729</v>
      </c>
      <c r="AE38" s="149">
        <v>2</v>
      </c>
      <c r="AF38" s="83">
        <v>7</v>
      </c>
      <c r="AG38" s="83">
        <v>0</v>
      </c>
      <c r="AH38" s="83">
        <v>0</v>
      </c>
      <c r="AI38" s="83">
        <v>0</v>
      </c>
      <c r="AJ38" s="83">
        <v>0</v>
      </c>
      <c r="AK38" s="146">
        <v>6.4826862065549804</v>
      </c>
      <c r="AL38" s="83">
        <v>0</v>
      </c>
      <c r="AM38" s="83">
        <v>1</v>
      </c>
      <c r="AN38" s="83">
        <v>0</v>
      </c>
      <c r="AO38" s="83" t="s">
        <v>731</v>
      </c>
    </row>
    <row r="39" spans="1:41" s="40" customFormat="1">
      <c r="A39" s="83" t="s">
        <v>732</v>
      </c>
      <c r="B39" s="161" t="s">
        <v>41</v>
      </c>
      <c r="C39" s="90" t="s">
        <v>772</v>
      </c>
      <c r="D39" s="83"/>
      <c r="E39" s="83"/>
      <c r="F39" s="83"/>
      <c r="G39" s="149" t="s">
        <v>1421</v>
      </c>
      <c r="H39" s="83">
        <v>0</v>
      </c>
      <c r="I39" s="149">
        <v>4</v>
      </c>
      <c r="J39" s="148">
        <v>0</v>
      </c>
      <c r="K39" s="149">
        <v>0</v>
      </c>
      <c r="L39" s="149">
        <v>0</v>
      </c>
      <c r="M39" s="149">
        <v>0</v>
      </c>
      <c r="N39" s="150">
        <v>7.9657624544896501</v>
      </c>
      <c r="O39" s="149">
        <v>0</v>
      </c>
      <c r="P39" s="149">
        <v>1</v>
      </c>
      <c r="Q39" s="149">
        <v>0</v>
      </c>
      <c r="R39" s="83" t="s">
        <v>734</v>
      </c>
      <c r="S39" s="45">
        <v>1.5</v>
      </c>
      <c r="T39" s="149">
        <v>0.5</v>
      </c>
      <c r="U39" s="149">
        <v>4</v>
      </c>
      <c r="V39" s="149">
        <v>1</v>
      </c>
      <c r="W39" s="149">
        <v>0</v>
      </c>
      <c r="X39" s="149">
        <v>0</v>
      </c>
      <c r="Y39" s="149">
        <v>0</v>
      </c>
      <c r="Z39" s="150">
        <v>8.0443293704388203</v>
      </c>
      <c r="AA39" s="149">
        <v>3</v>
      </c>
      <c r="AB39" s="149">
        <v>3</v>
      </c>
      <c r="AC39" s="149">
        <v>1</v>
      </c>
      <c r="AD39" s="83" t="s">
        <v>733</v>
      </c>
      <c r="AE39" s="149">
        <v>7</v>
      </c>
      <c r="AF39" s="83">
        <f>3*60+4</f>
        <v>184</v>
      </c>
      <c r="AG39" s="83">
        <v>4</v>
      </c>
      <c r="AH39" s="83">
        <v>2</v>
      </c>
      <c r="AI39" s="83">
        <v>1</v>
      </c>
      <c r="AJ39" s="45">
        <v>2</v>
      </c>
      <c r="AK39" s="60">
        <v>1.8227435074321401</v>
      </c>
      <c r="AL39" s="45">
        <v>3</v>
      </c>
      <c r="AM39" s="45">
        <v>2</v>
      </c>
      <c r="AN39" s="83">
        <v>0</v>
      </c>
      <c r="AO39" s="83" t="s">
        <v>735</v>
      </c>
    </row>
    <row r="40" spans="1:41" s="40" customFormat="1">
      <c r="A40" s="26" t="s">
        <v>736</v>
      </c>
      <c r="B40" s="162" t="s">
        <v>41</v>
      </c>
      <c r="C40" s="31" t="s">
        <v>773</v>
      </c>
      <c r="D40" s="154"/>
      <c r="E40" s="26"/>
      <c r="F40" s="26"/>
      <c r="G40" s="155"/>
      <c r="H40" s="26">
        <v>1</v>
      </c>
      <c r="I40" s="155">
        <v>5</v>
      </c>
      <c r="J40" s="153">
        <v>1</v>
      </c>
      <c r="K40" s="155">
        <v>0</v>
      </c>
      <c r="L40" s="155">
        <v>0</v>
      </c>
      <c r="M40" s="155">
        <v>0</v>
      </c>
      <c r="N40" s="156">
        <v>2.2916795018318998</v>
      </c>
      <c r="O40" s="155">
        <v>0</v>
      </c>
      <c r="P40" s="155">
        <v>1</v>
      </c>
      <c r="Q40" s="155">
        <v>0</v>
      </c>
      <c r="R40" s="26" t="s">
        <v>738</v>
      </c>
      <c r="S40" s="10">
        <v>9</v>
      </c>
      <c r="T40" s="155">
        <v>5</v>
      </c>
      <c r="U40" s="155">
        <v>63</v>
      </c>
      <c r="V40" s="155">
        <v>2</v>
      </c>
      <c r="W40" s="155">
        <v>1</v>
      </c>
      <c r="X40" s="155">
        <v>0</v>
      </c>
      <c r="Y40" s="155">
        <v>3</v>
      </c>
      <c r="Z40" s="156">
        <v>1.8533406589406201</v>
      </c>
      <c r="AA40" s="155">
        <v>0</v>
      </c>
      <c r="AB40" s="155">
        <v>1</v>
      </c>
      <c r="AC40" s="155">
        <v>0</v>
      </c>
      <c r="AD40" s="26" t="s">
        <v>737</v>
      </c>
      <c r="AE40" s="155">
        <v>10</v>
      </c>
      <c r="AF40" s="26">
        <v>11</v>
      </c>
      <c r="AG40" s="26">
        <v>1</v>
      </c>
      <c r="AH40" s="26">
        <v>1</v>
      </c>
      <c r="AI40" s="26">
        <v>1</v>
      </c>
      <c r="AJ40" s="26">
        <v>0</v>
      </c>
      <c r="AK40" s="145">
        <v>3.2068327210640901</v>
      </c>
      <c r="AL40" s="26">
        <v>0</v>
      </c>
      <c r="AM40" s="26">
        <v>1</v>
      </c>
      <c r="AN40" s="26">
        <v>0</v>
      </c>
      <c r="AO40" s="26" t="s">
        <v>739</v>
      </c>
    </row>
    <row r="41" spans="1:41" s="40" customFormat="1">
      <c r="A41" s="83" t="s">
        <v>740</v>
      </c>
      <c r="B41" s="161" t="s">
        <v>41</v>
      </c>
      <c r="C41" s="90" t="s">
        <v>772</v>
      </c>
      <c r="D41" s="157"/>
      <c r="E41" s="83"/>
      <c r="F41" s="83"/>
      <c r="G41" s="149"/>
      <c r="H41" s="83">
        <v>0</v>
      </c>
      <c r="I41" s="149">
        <v>5.5</v>
      </c>
      <c r="J41" s="149">
        <v>1</v>
      </c>
      <c r="K41" s="149">
        <v>0</v>
      </c>
      <c r="L41" s="149">
        <v>0</v>
      </c>
      <c r="M41" s="149">
        <v>0</v>
      </c>
      <c r="N41" s="150">
        <v>2.9632592434818599</v>
      </c>
      <c r="O41" s="149">
        <v>1</v>
      </c>
      <c r="P41" s="149">
        <v>1</v>
      </c>
      <c r="Q41" s="149">
        <v>1</v>
      </c>
      <c r="R41" s="83" t="s">
        <v>742</v>
      </c>
      <c r="S41" s="45">
        <v>9</v>
      </c>
      <c r="T41" s="149">
        <v>8</v>
      </c>
      <c r="U41" s="149">
        <f>6*60+35-8</f>
        <v>387</v>
      </c>
      <c r="V41" s="45">
        <v>11</v>
      </c>
      <c r="W41" s="45">
        <v>9</v>
      </c>
      <c r="X41" s="45">
        <v>2</v>
      </c>
      <c r="Y41" s="45">
        <v>2</v>
      </c>
      <c r="Z41" s="150">
        <v>4.3950284213764501</v>
      </c>
      <c r="AA41" s="149">
        <v>3</v>
      </c>
      <c r="AB41" s="149">
        <v>2</v>
      </c>
      <c r="AC41" s="149">
        <v>1</v>
      </c>
      <c r="AD41" s="83" t="s">
        <v>741</v>
      </c>
      <c r="AE41" s="149">
        <v>4.5</v>
      </c>
      <c r="AF41" s="83">
        <f>8*60+50</f>
        <v>530</v>
      </c>
      <c r="AG41" s="45">
        <v>9</v>
      </c>
      <c r="AH41" s="83">
        <v>9</v>
      </c>
      <c r="AI41" s="45">
        <v>3</v>
      </c>
      <c r="AJ41" s="83">
        <v>2</v>
      </c>
      <c r="AK41" s="146">
        <v>1.87343326840902</v>
      </c>
      <c r="AL41" s="45">
        <v>3</v>
      </c>
      <c r="AM41" s="83">
        <v>2</v>
      </c>
      <c r="AN41" s="83">
        <v>1</v>
      </c>
      <c r="AO41" s="83" t="s">
        <v>743</v>
      </c>
    </row>
    <row r="42" spans="1:41" s="40" customFormat="1">
      <c r="A42" s="26" t="s">
        <v>744</v>
      </c>
      <c r="B42" s="162" t="s">
        <v>41</v>
      </c>
      <c r="C42" s="31" t="s">
        <v>773</v>
      </c>
      <c r="D42" s="154"/>
      <c r="E42" s="26"/>
      <c r="F42" s="26"/>
      <c r="G42" s="155"/>
      <c r="H42" s="26">
        <v>1</v>
      </c>
      <c r="I42" s="155">
        <v>7</v>
      </c>
      <c r="J42" s="153">
        <v>1</v>
      </c>
      <c r="K42" s="155">
        <v>0</v>
      </c>
      <c r="L42" s="155">
        <v>0</v>
      </c>
      <c r="M42" s="155">
        <v>0</v>
      </c>
      <c r="N42" s="156">
        <v>2.1691033445419099</v>
      </c>
      <c r="O42" s="155">
        <v>0</v>
      </c>
      <c r="P42" s="155">
        <v>1</v>
      </c>
      <c r="Q42" s="155">
        <v>0</v>
      </c>
      <c r="R42" s="26" t="s">
        <v>746</v>
      </c>
      <c r="S42" s="10">
        <v>3</v>
      </c>
      <c r="T42" s="155">
        <v>2</v>
      </c>
      <c r="U42" s="155">
        <v>12</v>
      </c>
      <c r="V42" s="155">
        <v>1</v>
      </c>
      <c r="W42" s="155">
        <v>0</v>
      </c>
      <c r="X42" s="155">
        <v>0</v>
      </c>
      <c r="Y42" s="155">
        <v>1</v>
      </c>
      <c r="Z42" s="156">
        <v>8.0173126357887892</v>
      </c>
      <c r="AA42" s="155">
        <v>3</v>
      </c>
      <c r="AB42" s="155">
        <v>3</v>
      </c>
      <c r="AC42" s="155">
        <v>1</v>
      </c>
      <c r="AD42" s="26" t="s">
        <v>745</v>
      </c>
      <c r="AE42" s="155">
        <v>8</v>
      </c>
      <c r="AF42" s="26">
        <v>20</v>
      </c>
      <c r="AG42" s="26">
        <v>1</v>
      </c>
      <c r="AH42" s="26">
        <v>0</v>
      </c>
      <c r="AI42" s="26">
        <v>0</v>
      </c>
      <c r="AJ42" s="26">
        <v>2</v>
      </c>
      <c r="AK42" s="145">
        <v>11.112519653177101</v>
      </c>
      <c r="AL42" s="26">
        <v>4</v>
      </c>
      <c r="AM42" s="26">
        <v>3</v>
      </c>
      <c r="AN42" s="26">
        <v>3</v>
      </c>
      <c r="AO42" s="26" t="s">
        <v>747</v>
      </c>
    </row>
    <row r="43" spans="1:41" s="40" customFormat="1">
      <c r="A43" s="26" t="s">
        <v>748</v>
      </c>
      <c r="B43" s="162" t="s">
        <v>41</v>
      </c>
      <c r="C43" s="31" t="s">
        <v>773</v>
      </c>
      <c r="D43" s="154"/>
      <c r="E43" s="26"/>
      <c r="F43" s="26"/>
      <c r="G43" s="155"/>
      <c r="H43" s="26">
        <v>1</v>
      </c>
      <c r="I43" s="153">
        <v>10</v>
      </c>
      <c r="J43" s="153">
        <v>0</v>
      </c>
      <c r="K43" s="153">
        <v>0</v>
      </c>
      <c r="L43" s="153">
        <v>0</v>
      </c>
      <c r="M43" s="153">
        <v>0</v>
      </c>
      <c r="N43" s="156">
        <v>2.46519588524276</v>
      </c>
      <c r="O43" s="155">
        <v>0</v>
      </c>
      <c r="P43" s="155">
        <v>1</v>
      </c>
      <c r="Q43" s="155">
        <v>0</v>
      </c>
      <c r="R43" s="26" t="s">
        <v>750</v>
      </c>
      <c r="S43" s="10">
        <v>55</v>
      </c>
      <c r="T43" s="155">
        <v>18</v>
      </c>
      <c r="U43" s="155">
        <v>3.5</v>
      </c>
      <c r="V43" s="155">
        <v>0</v>
      </c>
      <c r="W43" s="155">
        <v>0</v>
      </c>
      <c r="X43" s="153">
        <v>0</v>
      </c>
      <c r="Y43" s="153">
        <v>0</v>
      </c>
      <c r="Z43" s="156">
        <v>10.869400629470199</v>
      </c>
      <c r="AA43" s="155">
        <v>0</v>
      </c>
      <c r="AB43" s="155">
        <v>1</v>
      </c>
      <c r="AC43" s="155">
        <v>1</v>
      </c>
      <c r="AD43" s="26" t="s">
        <v>749</v>
      </c>
      <c r="AE43" s="155">
        <v>125</v>
      </c>
      <c r="AF43" s="26">
        <v>600</v>
      </c>
      <c r="AG43" s="26">
        <v>14</v>
      </c>
      <c r="AH43" s="26">
        <v>16</v>
      </c>
      <c r="AI43" s="26">
        <v>9</v>
      </c>
      <c r="AJ43" s="26">
        <v>3</v>
      </c>
      <c r="AK43" s="145" t="s">
        <v>25</v>
      </c>
      <c r="AL43" s="26">
        <v>5</v>
      </c>
      <c r="AM43" s="26">
        <v>5</v>
      </c>
      <c r="AN43" s="26">
        <v>5</v>
      </c>
      <c r="AO43" s="26" t="s">
        <v>26</v>
      </c>
    </row>
    <row r="44" spans="1:41" s="40" customFormat="1">
      <c r="A44" s="83" t="s">
        <v>751</v>
      </c>
      <c r="B44" s="161" t="s">
        <v>17</v>
      </c>
      <c r="C44" s="90" t="s">
        <v>772</v>
      </c>
      <c r="D44" s="157"/>
      <c r="E44" s="83"/>
      <c r="F44" s="83"/>
      <c r="G44" s="149"/>
      <c r="H44" s="83">
        <v>0</v>
      </c>
      <c r="I44" s="149">
        <v>26</v>
      </c>
      <c r="J44" s="148">
        <v>2</v>
      </c>
      <c r="K44" s="149">
        <v>1</v>
      </c>
      <c r="L44" s="149">
        <v>0</v>
      </c>
      <c r="M44" s="149">
        <v>1</v>
      </c>
      <c r="N44" s="150">
        <v>9.9799766158831105</v>
      </c>
      <c r="O44" s="149">
        <v>3</v>
      </c>
      <c r="P44" s="149">
        <v>3</v>
      </c>
      <c r="Q44" s="149">
        <v>1</v>
      </c>
      <c r="R44" s="83" t="s">
        <v>752</v>
      </c>
      <c r="S44" s="45">
        <v>5.5</v>
      </c>
      <c r="T44" s="149">
        <v>2.5</v>
      </c>
      <c r="U44" s="149">
        <v>600</v>
      </c>
      <c r="V44" s="45">
        <v>13</v>
      </c>
      <c r="W44" s="45">
        <v>8</v>
      </c>
      <c r="X44" s="45">
        <v>2</v>
      </c>
      <c r="Y44" s="45">
        <v>1</v>
      </c>
      <c r="Z44" s="150" t="s">
        <v>25</v>
      </c>
      <c r="AA44" s="149">
        <v>5</v>
      </c>
      <c r="AB44" s="149">
        <v>5</v>
      </c>
      <c r="AC44" s="149">
        <v>5</v>
      </c>
      <c r="AD44" s="83" t="s">
        <v>624</v>
      </c>
      <c r="AE44" s="149">
        <v>0</v>
      </c>
      <c r="AF44" s="83">
        <f>6*60+30</f>
        <v>390</v>
      </c>
      <c r="AG44" s="45">
        <v>8</v>
      </c>
      <c r="AH44" s="83">
        <v>8</v>
      </c>
      <c r="AI44" s="83">
        <v>3</v>
      </c>
      <c r="AJ44" s="83">
        <v>4</v>
      </c>
      <c r="AK44" s="146">
        <v>1.8070598064605801</v>
      </c>
      <c r="AL44" s="45">
        <v>2</v>
      </c>
      <c r="AM44" s="45">
        <v>3</v>
      </c>
      <c r="AN44" s="83">
        <v>3</v>
      </c>
      <c r="AO44" s="83" t="s">
        <v>753</v>
      </c>
    </row>
    <row r="45" spans="1:41" s="40" customFormat="1">
      <c r="A45" s="83" t="s">
        <v>754</v>
      </c>
      <c r="B45" s="161" t="s">
        <v>41</v>
      </c>
      <c r="C45" s="90" t="s">
        <v>772</v>
      </c>
      <c r="D45" s="157"/>
      <c r="E45" s="83"/>
      <c r="F45" s="83"/>
      <c r="G45" s="149"/>
      <c r="H45" s="83">
        <v>0</v>
      </c>
      <c r="I45" s="149">
        <v>7.5</v>
      </c>
      <c r="J45" s="148">
        <v>1</v>
      </c>
      <c r="K45" s="149">
        <v>0</v>
      </c>
      <c r="L45" s="149">
        <v>0</v>
      </c>
      <c r="M45" s="149">
        <v>0</v>
      </c>
      <c r="N45" s="150">
        <v>3.8214714801935901</v>
      </c>
      <c r="O45" s="149">
        <v>1</v>
      </c>
      <c r="P45" s="149">
        <v>3</v>
      </c>
      <c r="Q45" s="149">
        <v>1</v>
      </c>
      <c r="R45" s="83" t="s">
        <v>756</v>
      </c>
      <c r="S45" s="45">
        <v>12</v>
      </c>
      <c r="T45" s="149">
        <v>11</v>
      </c>
      <c r="U45" s="149">
        <v>502</v>
      </c>
      <c r="V45" s="45">
        <v>8</v>
      </c>
      <c r="W45" s="45">
        <v>9</v>
      </c>
      <c r="X45" s="45">
        <v>0</v>
      </c>
      <c r="Y45" s="45">
        <v>4</v>
      </c>
      <c r="Z45" s="150">
        <v>1.1851433613434901</v>
      </c>
      <c r="AA45" s="149">
        <v>3</v>
      </c>
      <c r="AB45" s="149">
        <v>5</v>
      </c>
      <c r="AC45" s="149">
        <v>3</v>
      </c>
      <c r="AD45" s="83" t="s">
        <v>755</v>
      </c>
      <c r="AE45" s="149">
        <v>98</v>
      </c>
      <c r="AF45" s="83">
        <v>600</v>
      </c>
      <c r="AG45" s="83">
        <v>7</v>
      </c>
      <c r="AH45" s="83">
        <v>9</v>
      </c>
      <c r="AI45" s="83">
        <v>2</v>
      </c>
      <c r="AJ45" s="83">
        <v>5</v>
      </c>
      <c r="AK45" s="146" t="s">
        <v>25</v>
      </c>
      <c r="AL45" s="83">
        <v>5</v>
      </c>
      <c r="AM45" s="83">
        <v>5</v>
      </c>
      <c r="AN45" s="83">
        <v>5</v>
      </c>
      <c r="AO45" s="83" t="s">
        <v>26</v>
      </c>
    </row>
    <row r="46" spans="1:41" s="40" customFormat="1">
      <c r="A46" s="26" t="s">
        <v>757</v>
      </c>
      <c r="B46" s="162" t="s">
        <v>41</v>
      </c>
      <c r="C46" s="31" t="s">
        <v>773</v>
      </c>
      <c r="D46" s="154"/>
      <c r="E46" s="26"/>
      <c r="F46" s="26"/>
      <c r="G46" s="155"/>
      <c r="H46" s="26">
        <v>1</v>
      </c>
      <c r="I46" s="155">
        <v>7</v>
      </c>
      <c r="J46" s="153">
        <v>0</v>
      </c>
      <c r="K46" s="155">
        <v>0</v>
      </c>
      <c r="L46" s="155">
        <v>0</v>
      </c>
      <c r="M46" s="155">
        <v>0</v>
      </c>
      <c r="N46" s="156">
        <v>5.8248946291107604</v>
      </c>
      <c r="O46" s="155">
        <v>3</v>
      </c>
      <c r="P46" s="155">
        <v>2</v>
      </c>
      <c r="Q46" s="155">
        <v>1</v>
      </c>
      <c r="R46" s="26" t="s">
        <v>759</v>
      </c>
      <c r="S46" s="10">
        <v>17</v>
      </c>
      <c r="T46" s="155">
        <v>13</v>
      </c>
      <c r="U46" s="155">
        <v>5</v>
      </c>
      <c r="V46" s="155">
        <v>0</v>
      </c>
      <c r="W46" s="155">
        <v>0</v>
      </c>
      <c r="X46" s="155">
        <v>0</v>
      </c>
      <c r="Y46" s="155">
        <v>0</v>
      </c>
      <c r="Z46" s="156">
        <v>6.9171293646581997</v>
      </c>
      <c r="AA46" s="155">
        <v>3</v>
      </c>
      <c r="AB46" s="155">
        <v>3</v>
      </c>
      <c r="AC46" s="155">
        <v>1</v>
      </c>
      <c r="AD46" s="26" t="s">
        <v>758</v>
      </c>
      <c r="AE46" s="155">
        <v>8</v>
      </c>
      <c r="AF46" s="26">
        <f>3*60+34-8</f>
        <v>206</v>
      </c>
      <c r="AG46" s="26">
        <v>8</v>
      </c>
      <c r="AH46" s="26">
        <v>9</v>
      </c>
      <c r="AI46" s="26">
        <v>0</v>
      </c>
      <c r="AJ46" s="26">
        <v>5</v>
      </c>
      <c r="AK46" s="145">
        <v>4.2315863132758</v>
      </c>
      <c r="AL46" s="26">
        <v>3</v>
      </c>
      <c r="AM46" s="26">
        <v>3</v>
      </c>
      <c r="AN46" s="26">
        <v>1</v>
      </c>
      <c r="AO46" s="26" t="s">
        <v>760</v>
      </c>
    </row>
    <row r="47" spans="1:41" s="40" customFormat="1">
      <c r="A47" s="26" t="s">
        <v>761</v>
      </c>
      <c r="B47" s="162" t="s">
        <v>41</v>
      </c>
      <c r="C47" s="31" t="s">
        <v>773</v>
      </c>
      <c r="D47" s="10"/>
      <c r="E47" s="26"/>
      <c r="F47" s="26"/>
      <c r="G47" s="155"/>
      <c r="H47" s="26">
        <v>1</v>
      </c>
      <c r="I47" s="155">
        <v>10</v>
      </c>
      <c r="J47" s="153">
        <v>2</v>
      </c>
      <c r="K47" s="155">
        <v>0</v>
      </c>
      <c r="L47" s="155">
        <v>0</v>
      </c>
      <c r="M47" s="155">
        <v>1</v>
      </c>
      <c r="N47" s="156">
        <v>1.5886048667142301</v>
      </c>
      <c r="O47" s="155">
        <v>0</v>
      </c>
      <c r="P47" s="155">
        <v>1</v>
      </c>
      <c r="Q47" s="155">
        <v>0</v>
      </c>
      <c r="R47" s="26" t="s">
        <v>763</v>
      </c>
      <c r="S47" s="10">
        <v>22.5</v>
      </c>
      <c r="T47" s="155">
        <v>22</v>
      </c>
      <c r="U47" s="155">
        <v>3</v>
      </c>
      <c r="V47" s="155">
        <v>0</v>
      </c>
      <c r="W47" s="153">
        <v>0</v>
      </c>
      <c r="X47" s="155">
        <v>0</v>
      </c>
      <c r="Y47" s="155">
        <v>0</v>
      </c>
      <c r="Z47" s="156">
        <v>13.3079985838285</v>
      </c>
      <c r="AA47" s="155">
        <v>2</v>
      </c>
      <c r="AB47" s="155">
        <v>2</v>
      </c>
      <c r="AC47" s="155">
        <v>1</v>
      </c>
      <c r="AD47" s="26" t="s">
        <v>762</v>
      </c>
      <c r="AE47" s="155">
        <v>3.5</v>
      </c>
      <c r="AF47" s="26">
        <v>12</v>
      </c>
      <c r="AG47" s="26">
        <v>1</v>
      </c>
      <c r="AH47" s="26">
        <v>0</v>
      </c>
      <c r="AI47" s="26">
        <v>0</v>
      </c>
      <c r="AJ47" s="26">
        <v>1</v>
      </c>
      <c r="AK47" s="145">
        <v>8.9731188354373099</v>
      </c>
      <c r="AL47" s="26">
        <v>2</v>
      </c>
      <c r="AM47" s="26">
        <v>2</v>
      </c>
      <c r="AN47" s="26">
        <v>1</v>
      </c>
      <c r="AO47" s="26" t="s">
        <v>764</v>
      </c>
    </row>
    <row r="48" spans="1:41" s="40" customFormat="1">
      <c r="A48" s="26" t="s">
        <v>765</v>
      </c>
      <c r="B48" s="28" t="s">
        <v>17</v>
      </c>
      <c r="C48" s="31" t="s">
        <v>773</v>
      </c>
      <c r="D48" s="10"/>
      <c r="E48" s="26"/>
      <c r="F48" s="26"/>
      <c r="G48" s="155"/>
      <c r="H48" s="26">
        <v>1</v>
      </c>
      <c r="I48" s="155">
        <v>3</v>
      </c>
      <c r="J48" s="153">
        <v>1</v>
      </c>
      <c r="K48" s="155">
        <v>0</v>
      </c>
      <c r="L48" s="155">
        <v>0</v>
      </c>
      <c r="M48" s="155">
        <v>0</v>
      </c>
      <c r="N48" s="156">
        <v>4.4286531053227103</v>
      </c>
      <c r="O48" s="155">
        <v>3</v>
      </c>
      <c r="P48" s="155">
        <v>3</v>
      </c>
      <c r="Q48" s="155">
        <v>0</v>
      </c>
      <c r="R48" s="26" t="s">
        <v>767</v>
      </c>
      <c r="S48" s="10">
        <v>121.5</v>
      </c>
      <c r="T48" s="155">
        <v>31</v>
      </c>
      <c r="U48" s="155">
        <v>10</v>
      </c>
      <c r="V48" s="155">
        <v>0</v>
      </c>
      <c r="W48" s="153">
        <v>1</v>
      </c>
      <c r="X48" s="155">
        <v>0</v>
      </c>
      <c r="Y48" s="155">
        <v>0</v>
      </c>
      <c r="Z48" s="156">
        <v>14.637288697926801</v>
      </c>
      <c r="AA48" s="155">
        <v>2</v>
      </c>
      <c r="AB48" s="155">
        <v>3</v>
      </c>
      <c r="AC48" s="155">
        <v>1</v>
      </c>
      <c r="AD48" s="26" t="s">
        <v>766</v>
      </c>
      <c r="AE48" s="155">
        <v>1</v>
      </c>
      <c r="AF48" s="26">
        <v>60</v>
      </c>
      <c r="AG48" s="26">
        <v>2</v>
      </c>
      <c r="AH48" s="26">
        <v>4</v>
      </c>
      <c r="AI48" s="26">
        <v>0</v>
      </c>
      <c r="AJ48" s="26">
        <v>0</v>
      </c>
      <c r="AK48" s="145">
        <v>5.4530182639443803</v>
      </c>
      <c r="AL48" s="26">
        <v>1</v>
      </c>
      <c r="AM48" s="26">
        <v>1</v>
      </c>
      <c r="AN48" s="26">
        <v>2</v>
      </c>
      <c r="AO48" s="26" t="s">
        <v>768</v>
      </c>
    </row>
    <row r="49" spans="1:41" s="40" customFormat="1">
      <c r="A49" s="26" t="s">
        <v>769</v>
      </c>
      <c r="B49" s="28" t="s">
        <v>41</v>
      </c>
      <c r="C49" s="31" t="s">
        <v>773</v>
      </c>
      <c r="D49" s="10"/>
      <c r="E49" s="26"/>
      <c r="F49" s="26"/>
      <c r="G49" s="155"/>
      <c r="H49" s="26">
        <v>1</v>
      </c>
      <c r="I49" s="155">
        <v>51</v>
      </c>
      <c r="J49" s="153">
        <v>2</v>
      </c>
      <c r="K49" s="155">
        <v>1</v>
      </c>
      <c r="L49" s="155">
        <v>0</v>
      </c>
      <c r="M49" s="155">
        <v>1</v>
      </c>
      <c r="N49" s="156">
        <v>0.70533521444368097</v>
      </c>
      <c r="O49" s="155">
        <v>0</v>
      </c>
      <c r="P49" s="155">
        <v>1</v>
      </c>
      <c r="Q49" s="155">
        <v>0</v>
      </c>
      <c r="R49" s="26" t="s">
        <v>771</v>
      </c>
      <c r="S49" s="10">
        <v>549</v>
      </c>
      <c r="T49" s="155">
        <v>132</v>
      </c>
      <c r="U49" s="26">
        <f>6*60+48</f>
        <v>408</v>
      </c>
      <c r="V49" s="155">
        <v>3</v>
      </c>
      <c r="W49" s="155">
        <v>5</v>
      </c>
      <c r="X49" s="155">
        <v>3</v>
      </c>
      <c r="Y49" s="26">
        <v>0</v>
      </c>
      <c r="Z49" s="156">
        <v>4.1826868358005997</v>
      </c>
      <c r="AA49" s="26">
        <v>3</v>
      </c>
      <c r="AB49" s="26">
        <v>3</v>
      </c>
      <c r="AC49" s="26">
        <v>1</v>
      </c>
      <c r="AD49" s="26" t="s">
        <v>770</v>
      </c>
      <c r="AE49" s="155">
        <v>4.5</v>
      </c>
      <c r="AF49" s="26">
        <v>600</v>
      </c>
      <c r="AG49" s="26">
        <v>11</v>
      </c>
      <c r="AH49" s="26">
        <v>11</v>
      </c>
      <c r="AI49" s="26">
        <v>6</v>
      </c>
      <c r="AJ49" s="26">
        <v>2</v>
      </c>
      <c r="AK49" s="145" t="s">
        <v>25</v>
      </c>
      <c r="AL49" s="26">
        <v>5</v>
      </c>
      <c r="AM49" s="26">
        <v>5</v>
      </c>
      <c r="AN49" s="26">
        <v>5</v>
      </c>
      <c r="AO49" s="26" t="s">
        <v>26</v>
      </c>
    </row>
    <row r="53" spans="1:41" s="40" customFormat="1" ht="15" customHeight="1">
      <c r="A53" s="90" t="s">
        <v>653</v>
      </c>
      <c r="B53" s="90" t="s">
        <v>17</v>
      </c>
      <c r="C53" s="90" t="s">
        <v>772</v>
      </c>
      <c r="D53" s="45">
        <f>F53-E53</f>
        <v>88</v>
      </c>
      <c r="E53" s="67">
        <v>44834</v>
      </c>
      <c r="F53" s="67">
        <v>44922</v>
      </c>
      <c r="G53" s="67"/>
      <c r="H53" s="45">
        <v>0</v>
      </c>
      <c r="I53" s="45">
        <f>168</f>
        <v>168</v>
      </c>
      <c r="J53" s="45">
        <v>4</v>
      </c>
      <c r="K53" s="45">
        <v>2</v>
      </c>
      <c r="L53" s="45">
        <v>0</v>
      </c>
      <c r="M53" s="45">
        <v>2</v>
      </c>
      <c r="N53" s="60">
        <v>6.0350193383458004</v>
      </c>
      <c r="O53" s="45">
        <v>1</v>
      </c>
      <c r="P53" s="45">
        <v>1</v>
      </c>
      <c r="Q53" s="45">
        <v>2</v>
      </c>
      <c r="R53" s="45" t="s">
        <v>655</v>
      </c>
      <c r="S53" s="45">
        <v>170</v>
      </c>
      <c r="T53" s="45">
        <v>34</v>
      </c>
      <c r="U53" s="45">
        <v>297</v>
      </c>
      <c r="V53" s="45">
        <v>4</v>
      </c>
      <c r="W53" s="45">
        <v>4</v>
      </c>
      <c r="X53" s="45">
        <v>0</v>
      </c>
      <c r="Y53" s="45">
        <v>2</v>
      </c>
      <c r="Z53" s="60">
        <v>8.2996931934359193</v>
      </c>
      <c r="AA53" s="68">
        <v>3</v>
      </c>
      <c r="AB53" s="68">
        <v>3</v>
      </c>
      <c r="AC53" s="68">
        <v>2</v>
      </c>
      <c r="AD53" s="45" t="s">
        <v>654</v>
      </c>
      <c r="AE53" s="45">
        <v>71</v>
      </c>
      <c r="AF53" s="45">
        <f>2*60+15</f>
        <v>135</v>
      </c>
      <c r="AG53" s="45">
        <v>2</v>
      </c>
      <c r="AH53" s="45">
        <v>0</v>
      </c>
      <c r="AI53" s="45">
        <v>0</v>
      </c>
      <c r="AJ53" s="45">
        <v>1</v>
      </c>
      <c r="AK53" s="60">
        <v>5.1653519519321502</v>
      </c>
      <c r="AL53" s="45">
        <v>0</v>
      </c>
      <c r="AM53" s="45">
        <v>1</v>
      </c>
      <c r="AN53" s="45">
        <v>0</v>
      </c>
      <c r="AO53" s="45" t="s">
        <v>656</v>
      </c>
    </row>
    <row r="54" spans="1:41" s="40" customFormat="1">
      <c r="A54" s="10" t="s">
        <v>706</v>
      </c>
      <c r="B54" s="31" t="s">
        <v>41</v>
      </c>
      <c r="C54" s="31" t="s">
        <v>773</v>
      </c>
      <c r="D54" s="10"/>
      <c r="E54" s="10"/>
      <c r="F54" s="10"/>
      <c r="G54" s="4"/>
      <c r="H54" s="10">
        <v>1</v>
      </c>
      <c r="I54" s="10">
        <f>23-7</f>
        <v>16</v>
      </c>
      <c r="J54" s="10">
        <v>1</v>
      </c>
      <c r="K54" s="10">
        <v>0</v>
      </c>
      <c r="L54" s="10">
        <v>0</v>
      </c>
      <c r="M54" s="10">
        <v>1</v>
      </c>
      <c r="N54" s="145">
        <v>4.2209935432791603</v>
      </c>
      <c r="O54" s="10">
        <v>0</v>
      </c>
      <c r="P54" s="10">
        <v>1</v>
      </c>
      <c r="Q54" s="10">
        <v>0</v>
      </c>
      <c r="R54" s="10" t="s">
        <v>708</v>
      </c>
      <c r="S54" s="10">
        <v>6.5</v>
      </c>
      <c r="T54" s="10">
        <v>5</v>
      </c>
      <c r="U54" s="10">
        <f>154</f>
        <v>154</v>
      </c>
      <c r="V54" s="10">
        <v>1</v>
      </c>
      <c r="W54" s="10">
        <v>2</v>
      </c>
      <c r="X54" s="10">
        <v>0</v>
      </c>
      <c r="Y54" s="10">
        <v>1</v>
      </c>
      <c r="Z54" s="145">
        <v>1.5731221434488101</v>
      </c>
      <c r="AA54" s="10">
        <v>4</v>
      </c>
      <c r="AB54" s="10">
        <v>3</v>
      </c>
      <c r="AC54" s="10">
        <v>3</v>
      </c>
      <c r="AD54" s="10" t="s">
        <v>707</v>
      </c>
      <c r="AE54" s="10">
        <f>59-42</f>
        <v>17</v>
      </c>
      <c r="AF54" s="10">
        <v>7</v>
      </c>
      <c r="AG54" s="10">
        <v>1</v>
      </c>
      <c r="AH54" s="10">
        <v>0</v>
      </c>
      <c r="AI54" s="10">
        <v>0</v>
      </c>
      <c r="AJ54" s="10">
        <v>0</v>
      </c>
      <c r="AK54" s="145">
        <v>3.4743886710711198</v>
      </c>
      <c r="AL54" s="10">
        <v>3</v>
      </c>
      <c r="AM54" s="10">
        <v>2</v>
      </c>
      <c r="AN54" s="10">
        <v>0</v>
      </c>
      <c r="AO54" s="10" t="s">
        <v>709</v>
      </c>
    </row>
    <row r="55" spans="1:41" s="40" customFormat="1">
      <c r="A55" s="10" t="s">
        <v>719</v>
      </c>
      <c r="B55" s="31" t="s">
        <v>41</v>
      </c>
      <c r="C55" s="31" t="s">
        <v>773</v>
      </c>
      <c r="D55" s="10"/>
      <c r="E55" s="10"/>
      <c r="F55" s="10"/>
      <c r="G55" s="4"/>
      <c r="H55" s="10">
        <v>1</v>
      </c>
      <c r="I55" s="10">
        <v>3</v>
      </c>
      <c r="J55" s="10">
        <v>0</v>
      </c>
      <c r="K55" s="10">
        <v>0</v>
      </c>
      <c r="L55" s="10">
        <v>0</v>
      </c>
      <c r="M55" s="10">
        <v>0</v>
      </c>
      <c r="N55" s="145">
        <v>3.2417215873847001</v>
      </c>
      <c r="O55" s="10">
        <v>0</v>
      </c>
      <c r="P55" s="10">
        <v>1</v>
      </c>
      <c r="Q55" s="10">
        <v>0</v>
      </c>
      <c r="R55" s="10" t="s">
        <v>720</v>
      </c>
      <c r="S55" s="10">
        <v>42</v>
      </c>
      <c r="T55" s="10">
        <v>37</v>
      </c>
      <c r="U55" s="10">
        <v>600</v>
      </c>
      <c r="V55" s="10">
        <v>9</v>
      </c>
      <c r="W55" s="10">
        <v>11</v>
      </c>
      <c r="X55" s="10">
        <v>1</v>
      </c>
      <c r="Y55" s="10">
        <v>5</v>
      </c>
      <c r="Z55" s="145" t="s">
        <v>25</v>
      </c>
      <c r="AA55" s="10">
        <v>5</v>
      </c>
      <c r="AB55" s="10">
        <v>5</v>
      </c>
      <c r="AC55" s="10">
        <v>5</v>
      </c>
      <c r="AD55" s="10" t="s">
        <v>26</v>
      </c>
      <c r="AE55" s="10">
        <v>0</v>
      </c>
      <c r="AF55" s="10">
        <f>23-6</f>
        <v>17</v>
      </c>
      <c r="AG55" s="10">
        <v>0</v>
      </c>
      <c r="AH55" s="10">
        <v>0</v>
      </c>
      <c r="AI55" s="10">
        <v>0</v>
      </c>
      <c r="AJ55" s="10">
        <v>2</v>
      </c>
      <c r="AK55" s="145">
        <v>9.2403835690465606</v>
      </c>
      <c r="AL55" s="10">
        <v>0</v>
      </c>
      <c r="AM55" s="10">
        <v>2</v>
      </c>
      <c r="AN55" s="10">
        <v>0</v>
      </c>
      <c r="AO55" s="10" t="s">
        <v>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5CA2-477A-3044-970E-C1BAE4029F27}">
  <dimension ref="A1:CL69"/>
  <sheetViews>
    <sheetView workbookViewId="0">
      <selection activeCell="J15" sqref="J15"/>
    </sheetView>
  </sheetViews>
  <sheetFormatPr baseColWidth="10" defaultRowHeight="16"/>
  <cols>
    <col min="8" max="8" width="10.83203125" style="286"/>
  </cols>
  <sheetData>
    <row r="1" spans="1:90" ht="21">
      <c r="A1" s="40"/>
      <c r="B1" s="176"/>
      <c r="C1" s="176"/>
      <c r="D1" s="40"/>
      <c r="E1" s="40"/>
      <c r="F1" s="40"/>
      <c r="G1" s="40"/>
      <c r="H1" s="284"/>
      <c r="I1" s="165" t="s">
        <v>268</v>
      </c>
      <c r="J1" s="38"/>
      <c r="K1" s="38"/>
      <c r="L1" s="38"/>
      <c r="M1" s="38"/>
      <c r="N1" s="38"/>
      <c r="O1" s="38"/>
      <c r="P1" s="38"/>
      <c r="Q1" s="38"/>
      <c r="R1" s="38"/>
      <c r="S1" s="165"/>
      <c r="T1" s="38"/>
      <c r="U1" s="163" t="s">
        <v>787</v>
      </c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3" t="s">
        <v>786</v>
      </c>
      <c r="AG1" s="164"/>
      <c r="AH1" s="164"/>
      <c r="AI1" s="164"/>
      <c r="AJ1" s="164"/>
      <c r="AK1" s="164"/>
      <c r="AL1" s="164"/>
      <c r="AM1" s="164"/>
      <c r="AN1" s="164"/>
      <c r="AO1" s="164"/>
      <c r="AP1" s="40"/>
      <c r="AQ1" s="40"/>
      <c r="AR1" s="40"/>
      <c r="AS1" s="40"/>
      <c r="AT1" s="166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</row>
    <row r="2" spans="1:90" ht="21">
      <c r="A2" s="40"/>
      <c r="B2" s="176"/>
      <c r="C2" s="176"/>
      <c r="D2" s="40"/>
      <c r="E2" s="40"/>
      <c r="F2" s="40"/>
      <c r="G2" s="40"/>
      <c r="H2" s="284"/>
      <c r="I2" s="61" t="s">
        <v>270</v>
      </c>
      <c r="J2" s="88"/>
      <c r="K2" s="88"/>
      <c r="L2" s="88"/>
      <c r="M2" s="88"/>
      <c r="N2" s="88"/>
      <c r="O2" s="88"/>
      <c r="P2" s="88"/>
      <c r="Q2" s="88"/>
      <c r="R2" s="61"/>
      <c r="S2" s="89"/>
      <c r="T2" s="166"/>
      <c r="U2" s="61" t="s">
        <v>270</v>
      </c>
      <c r="V2" s="88"/>
      <c r="W2" s="88"/>
      <c r="X2" s="88"/>
      <c r="Y2" s="88"/>
      <c r="Z2" s="88"/>
      <c r="AA2" s="88"/>
      <c r="AB2" s="88"/>
      <c r="AC2" s="88"/>
      <c r="AD2" s="61"/>
      <c r="AE2" s="61"/>
      <c r="AF2" s="61" t="s">
        <v>270</v>
      </c>
      <c r="AG2" s="88"/>
      <c r="AH2" s="88"/>
      <c r="AI2" s="88"/>
      <c r="AJ2" s="88"/>
      <c r="AK2" s="88"/>
      <c r="AL2" s="88"/>
      <c r="AM2" s="88"/>
      <c r="AN2" s="88"/>
      <c r="AO2" s="61"/>
      <c r="AP2" s="40"/>
      <c r="AQ2" s="40"/>
      <c r="AR2" s="40"/>
      <c r="AS2" s="40"/>
      <c r="AT2" s="166"/>
      <c r="AU2" s="89"/>
      <c r="AV2" s="89"/>
      <c r="AW2" s="89"/>
      <c r="AX2" s="89"/>
      <c r="AY2" s="89"/>
      <c r="AZ2" s="89"/>
      <c r="BA2" s="89"/>
      <c r="BB2" s="89"/>
      <c r="BC2" s="89"/>
      <c r="BD2" s="166"/>
      <c r="BE2" s="89"/>
      <c r="BF2" s="89"/>
      <c r="BG2" s="89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</row>
    <row r="3" spans="1:90" s="24" customFormat="1">
      <c r="A3" s="167" t="s">
        <v>0</v>
      </c>
      <c r="B3" s="168" t="s">
        <v>592</v>
      </c>
      <c r="C3" s="168" t="s">
        <v>2</v>
      </c>
      <c r="D3" s="168" t="s">
        <v>3</v>
      </c>
      <c r="E3" s="169" t="s">
        <v>4</v>
      </c>
      <c r="F3" s="169" t="s">
        <v>5</v>
      </c>
      <c r="G3" s="169" t="s">
        <v>584</v>
      </c>
      <c r="H3" s="168" t="s">
        <v>15</v>
      </c>
      <c r="I3" s="168" t="s">
        <v>774</v>
      </c>
      <c r="J3" s="168" t="s">
        <v>775</v>
      </c>
      <c r="K3" s="168" t="s">
        <v>777</v>
      </c>
      <c r="L3" s="168" t="s">
        <v>778</v>
      </c>
      <c r="M3" s="168" t="s">
        <v>779</v>
      </c>
      <c r="N3" s="170" t="s">
        <v>780</v>
      </c>
      <c r="O3" s="171" t="s">
        <v>781</v>
      </c>
      <c r="P3" s="171" t="s">
        <v>782</v>
      </c>
      <c r="Q3" s="171" t="s">
        <v>783</v>
      </c>
      <c r="R3" s="172" t="s">
        <v>272</v>
      </c>
      <c r="S3" s="172" t="s">
        <v>785</v>
      </c>
      <c r="T3" s="172" t="s">
        <v>784</v>
      </c>
      <c r="U3" s="168" t="s">
        <v>774</v>
      </c>
      <c r="V3" s="168" t="s">
        <v>775</v>
      </c>
      <c r="W3" s="168" t="s">
        <v>777</v>
      </c>
      <c r="X3" s="168" t="s">
        <v>778</v>
      </c>
      <c r="Y3" s="168" t="s">
        <v>779</v>
      </c>
      <c r="Z3" s="170" t="s">
        <v>780</v>
      </c>
      <c r="AA3" s="171" t="s">
        <v>781</v>
      </c>
      <c r="AB3" s="171" t="s">
        <v>782</v>
      </c>
      <c r="AC3" s="171" t="s">
        <v>783</v>
      </c>
      <c r="AD3" s="172" t="s">
        <v>272</v>
      </c>
      <c r="AE3" s="172" t="s">
        <v>785</v>
      </c>
      <c r="AF3" s="168" t="s">
        <v>774</v>
      </c>
      <c r="AG3" s="168" t="s">
        <v>775</v>
      </c>
      <c r="AH3" s="168" t="s">
        <v>777</v>
      </c>
      <c r="AI3" s="168" t="s">
        <v>778</v>
      </c>
      <c r="AJ3" s="168" t="s">
        <v>779</v>
      </c>
      <c r="AK3" s="170" t="s">
        <v>780</v>
      </c>
      <c r="AL3" s="171" t="s">
        <v>781</v>
      </c>
      <c r="AM3" s="171" t="s">
        <v>782</v>
      </c>
      <c r="AN3" s="171" t="s">
        <v>783</v>
      </c>
      <c r="AO3" s="172" t="s">
        <v>272</v>
      </c>
    </row>
    <row r="4" spans="1:90" s="95" customFormat="1">
      <c r="A4" s="189" t="s">
        <v>788</v>
      </c>
      <c r="B4" s="190" t="s">
        <v>41</v>
      </c>
      <c r="C4" s="190" t="s">
        <v>77</v>
      </c>
      <c r="D4" s="191">
        <f t="shared" ref="D4:D26" si="0">F4-E4</f>
        <v>59</v>
      </c>
      <c r="E4" s="192">
        <v>43700</v>
      </c>
      <c r="F4" s="192">
        <v>43759</v>
      </c>
      <c r="H4" s="94">
        <v>0</v>
      </c>
      <c r="I4" s="94">
        <v>4</v>
      </c>
      <c r="J4" s="54">
        <v>0</v>
      </c>
      <c r="K4" s="54">
        <v>0</v>
      </c>
      <c r="L4" s="54">
        <v>0</v>
      </c>
      <c r="M4" s="54">
        <v>0</v>
      </c>
      <c r="N4" s="193">
        <v>5.7634250460105196</v>
      </c>
      <c r="O4" s="95">
        <v>0</v>
      </c>
      <c r="P4" s="95">
        <v>1</v>
      </c>
      <c r="Q4" s="95">
        <v>0</v>
      </c>
      <c r="R4" s="193" t="s">
        <v>915</v>
      </c>
      <c r="S4" s="54">
        <v>0.3</v>
      </c>
      <c r="T4" s="54">
        <v>0.3</v>
      </c>
      <c r="U4" s="194">
        <v>600</v>
      </c>
      <c r="V4" s="194">
        <v>11</v>
      </c>
      <c r="W4" s="194">
        <v>14</v>
      </c>
      <c r="X4" s="194">
        <v>4</v>
      </c>
      <c r="Y4" s="194">
        <v>5</v>
      </c>
      <c r="Z4" s="95">
        <v>0</v>
      </c>
      <c r="AA4" s="191">
        <v>5</v>
      </c>
      <c r="AB4" s="191">
        <v>5</v>
      </c>
      <c r="AC4" s="191">
        <v>5</v>
      </c>
      <c r="AD4" s="193" t="s">
        <v>26</v>
      </c>
      <c r="AE4" s="194" t="s">
        <v>25</v>
      </c>
      <c r="AF4" s="194" t="s">
        <v>25</v>
      </c>
      <c r="AG4" s="95" t="s">
        <v>25</v>
      </c>
      <c r="AH4" s="95" t="s">
        <v>25</v>
      </c>
      <c r="AI4" s="95" t="s">
        <v>25</v>
      </c>
      <c r="AJ4" s="95" t="s">
        <v>25</v>
      </c>
      <c r="AK4" s="193" t="s">
        <v>25</v>
      </c>
      <c r="AL4" s="95" t="s">
        <v>25</v>
      </c>
      <c r="AM4" s="95" t="s">
        <v>25</v>
      </c>
      <c r="AN4" s="95" t="s">
        <v>25</v>
      </c>
      <c r="AO4" s="193" t="s">
        <v>25</v>
      </c>
    </row>
    <row r="5" spans="1:90" s="95" customFormat="1">
      <c r="A5" s="189" t="s">
        <v>789</v>
      </c>
      <c r="B5" s="190" t="s">
        <v>41</v>
      </c>
      <c r="C5" s="190" t="s">
        <v>77</v>
      </c>
      <c r="D5" s="191">
        <f t="shared" si="0"/>
        <v>62</v>
      </c>
      <c r="E5" s="192">
        <v>43700</v>
      </c>
      <c r="F5" s="192">
        <v>43762</v>
      </c>
      <c r="H5" s="94">
        <v>0</v>
      </c>
      <c r="I5" s="94">
        <v>11</v>
      </c>
      <c r="J5" s="54">
        <v>1</v>
      </c>
      <c r="K5" s="54">
        <v>0</v>
      </c>
      <c r="L5" s="54">
        <v>0</v>
      </c>
      <c r="M5" s="54">
        <v>1</v>
      </c>
      <c r="N5" s="193">
        <v>9.17831479813049</v>
      </c>
      <c r="O5" s="95">
        <v>1</v>
      </c>
      <c r="P5" s="95">
        <v>1</v>
      </c>
      <c r="Q5" s="95">
        <v>1</v>
      </c>
      <c r="R5" s="193" t="s">
        <v>916</v>
      </c>
      <c r="S5" s="54">
        <v>3</v>
      </c>
      <c r="T5" s="54">
        <v>1.5</v>
      </c>
      <c r="U5" s="195">
        <v>323</v>
      </c>
      <c r="V5" s="194">
        <v>9</v>
      </c>
      <c r="W5" s="194">
        <v>7</v>
      </c>
      <c r="X5" s="194">
        <v>0</v>
      </c>
      <c r="Y5" s="194">
        <v>4</v>
      </c>
      <c r="Z5" s="95">
        <v>3.4755665045108302</v>
      </c>
      <c r="AA5" s="191">
        <v>3</v>
      </c>
      <c r="AB5" s="191">
        <v>3</v>
      </c>
      <c r="AC5" s="196">
        <v>1</v>
      </c>
      <c r="AD5" s="193" t="s">
        <v>857</v>
      </c>
      <c r="AE5" s="194">
        <v>1</v>
      </c>
      <c r="AF5" s="194" t="s">
        <v>25</v>
      </c>
      <c r="AG5" s="95" t="s">
        <v>25</v>
      </c>
      <c r="AH5" s="95" t="s">
        <v>25</v>
      </c>
      <c r="AI5" s="95" t="s">
        <v>25</v>
      </c>
      <c r="AJ5" s="95" t="s">
        <v>25</v>
      </c>
      <c r="AK5" s="193" t="s">
        <v>25</v>
      </c>
      <c r="AL5" s="95" t="s">
        <v>25</v>
      </c>
      <c r="AM5" s="95" t="s">
        <v>25</v>
      </c>
      <c r="AN5" s="95" t="s">
        <v>25</v>
      </c>
      <c r="AO5" s="193" t="s">
        <v>25</v>
      </c>
    </row>
    <row r="6" spans="1:90" s="95" customFormat="1">
      <c r="A6" s="197" t="s">
        <v>790</v>
      </c>
      <c r="B6" s="198" t="s">
        <v>41</v>
      </c>
      <c r="C6" s="190" t="s">
        <v>77</v>
      </c>
      <c r="D6" s="191">
        <f t="shared" si="0"/>
        <v>52</v>
      </c>
      <c r="E6" s="192">
        <v>43731</v>
      </c>
      <c r="F6" s="192">
        <v>43783</v>
      </c>
      <c r="H6" s="94">
        <v>0</v>
      </c>
      <c r="I6" s="94">
        <v>2</v>
      </c>
      <c r="J6" s="94">
        <v>0</v>
      </c>
      <c r="K6" s="94">
        <v>0</v>
      </c>
      <c r="L6" s="94">
        <v>0</v>
      </c>
      <c r="M6" s="94">
        <v>0</v>
      </c>
      <c r="N6" s="193">
        <v>8.1994140404241502</v>
      </c>
      <c r="O6" s="95">
        <v>1</v>
      </c>
      <c r="P6" s="95">
        <v>1</v>
      </c>
      <c r="Q6" s="95">
        <v>1</v>
      </c>
      <c r="R6" s="193" t="s">
        <v>917</v>
      </c>
      <c r="S6" s="94">
        <v>2.5</v>
      </c>
      <c r="T6" s="94">
        <v>1.5</v>
      </c>
      <c r="U6" s="195">
        <f>7*60-5</f>
        <v>415</v>
      </c>
      <c r="V6" s="194">
        <v>16</v>
      </c>
      <c r="W6" s="194">
        <v>16</v>
      </c>
      <c r="X6" s="194">
        <v>3</v>
      </c>
      <c r="Y6" s="194">
        <v>6</v>
      </c>
      <c r="Z6" s="95">
        <v>4.5198437745799902</v>
      </c>
      <c r="AA6" s="191">
        <v>3</v>
      </c>
      <c r="AB6" s="191">
        <v>2</v>
      </c>
      <c r="AC6" s="191">
        <v>2</v>
      </c>
      <c r="AD6" s="193" t="s">
        <v>858</v>
      </c>
      <c r="AE6" s="194">
        <v>4</v>
      </c>
      <c r="AF6" s="194">
        <v>15</v>
      </c>
      <c r="AG6" s="94">
        <v>2</v>
      </c>
      <c r="AH6" s="94">
        <v>2</v>
      </c>
      <c r="AI6" s="95">
        <v>0</v>
      </c>
      <c r="AJ6" s="94">
        <v>0</v>
      </c>
      <c r="AK6" s="193">
        <v>5.9469478215437999</v>
      </c>
      <c r="AL6" s="95">
        <v>2</v>
      </c>
      <c r="AM6" s="95">
        <v>3</v>
      </c>
      <c r="AN6" s="95">
        <v>2</v>
      </c>
      <c r="AO6" s="193" t="s">
        <v>981</v>
      </c>
    </row>
    <row r="7" spans="1:90" s="95" customFormat="1">
      <c r="A7" s="197" t="s">
        <v>791</v>
      </c>
      <c r="B7" s="198" t="s">
        <v>41</v>
      </c>
      <c r="C7" s="190" t="s">
        <v>77</v>
      </c>
      <c r="D7" s="191">
        <f t="shared" si="0"/>
        <v>63</v>
      </c>
      <c r="E7" s="192">
        <v>43756</v>
      </c>
      <c r="F7" s="192">
        <v>43819</v>
      </c>
      <c r="H7" s="94">
        <v>0</v>
      </c>
      <c r="I7" s="94">
        <v>16</v>
      </c>
      <c r="J7" s="94">
        <v>2</v>
      </c>
      <c r="K7" s="94">
        <v>0</v>
      </c>
      <c r="L7" s="94">
        <v>0</v>
      </c>
      <c r="M7" s="94">
        <v>2</v>
      </c>
      <c r="N7" s="193">
        <v>14.273618862876599</v>
      </c>
      <c r="O7" s="95">
        <v>1</v>
      </c>
      <c r="P7" s="95">
        <v>1</v>
      </c>
      <c r="Q7" s="95">
        <v>1</v>
      </c>
      <c r="R7" s="193" t="s">
        <v>918</v>
      </c>
      <c r="S7" s="94">
        <v>29</v>
      </c>
      <c r="T7" s="94">
        <v>7</v>
      </c>
      <c r="U7" s="195">
        <v>12</v>
      </c>
      <c r="V7" s="194">
        <v>1</v>
      </c>
      <c r="W7" s="194">
        <v>1</v>
      </c>
      <c r="X7" s="194">
        <v>0</v>
      </c>
      <c r="Y7" s="194">
        <v>0</v>
      </c>
      <c r="Z7" s="95">
        <v>11.5053271439214</v>
      </c>
      <c r="AA7" s="191">
        <v>0</v>
      </c>
      <c r="AB7" s="191">
        <v>1</v>
      </c>
      <c r="AC7" s="191">
        <v>1</v>
      </c>
      <c r="AD7" s="193" t="s">
        <v>859</v>
      </c>
      <c r="AE7" s="194">
        <v>521</v>
      </c>
      <c r="AF7" s="194">
        <v>123</v>
      </c>
      <c r="AG7" s="94">
        <v>6</v>
      </c>
      <c r="AH7" s="94">
        <v>8</v>
      </c>
      <c r="AI7" s="95">
        <v>0</v>
      </c>
      <c r="AJ7" s="94">
        <v>1</v>
      </c>
      <c r="AK7" s="193">
        <v>11.6749534600917</v>
      </c>
      <c r="AL7" s="95">
        <v>3</v>
      </c>
      <c r="AM7" s="95">
        <v>3</v>
      </c>
      <c r="AN7" s="95">
        <v>2</v>
      </c>
      <c r="AO7" s="193" t="s">
        <v>982</v>
      </c>
    </row>
    <row r="8" spans="1:90" s="95" customFormat="1">
      <c r="A8" s="197" t="s">
        <v>792</v>
      </c>
      <c r="B8" s="198" t="s">
        <v>41</v>
      </c>
      <c r="C8" s="190" t="s">
        <v>77</v>
      </c>
      <c r="D8" s="191">
        <f t="shared" si="0"/>
        <v>50</v>
      </c>
      <c r="E8" s="192">
        <v>43794</v>
      </c>
      <c r="F8" s="192">
        <v>43844</v>
      </c>
      <c r="H8" s="94">
        <v>0</v>
      </c>
      <c r="I8" s="94">
        <v>4</v>
      </c>
      <c r="J8" s="94">
        <v>0</v>
      </c>
      <c r="K8" s="94">
        <v>0</v>
      </c>
      <c r="L8" s="94">
        <v>0</v>
      </c>
      <c r="M8" s="94">
        <v>0</v>
      </c>
      <c r="N8" s="193">
        <v>14.1003131757611</v>
      </c>
      <c r="O8" s="95">
        <v>1</v>
      </c>
      <c r="P8" s="95">
        <v>2</v>
      </c>
      <c r="Q8" s="95">
        <v>2</v>
      </c>
      <c r="R8" s="193" t="s">
        <v>919</v>
      </c>
      <c r="S8" s="94">
        <v>10</v>
      </c>
      <c r="T8" s="94">
        <v>1.5</v>
      </c>
      <c r="U8" s="195">
        <v>304</v>
      </c>
      <c r="V8" s="194">
        <v>2</v>
      </c>
      <c r="W8" s="194">
        <v>1</v>
      </c>
      <c r="X8" s="194">
        <v>0</v>
      </c>
      <c r="Y8" s="194">
        <v>5</v>
      </c>
      <c r="Z8" s="95">
        <v>9.1468630308347993</v>
      </c>
      <c r="AA8" s="191">
        <v>3</v>
      </c>
      <c r="AB8" s="191">
        <v>3</v>
      </c>
      <c r="AC8" s="191">
        <v>2</v>
      </c>
      <c r="AD8" s="193" t="s">
        <v>860</v>
      </c>
      <c r="AE8" s="194">
        <v>12</v>
      </c>
      <c r="AF8" s="194">
        <v>20</v>
      </c>
      <c r="AG8" s="94">
        <v>1</v>
      </c>
      <c r="AH8" s="94">
        <v>1</v>
      </c>
      <c r="AI8" s="95">
        <v>1</v>
      </c>
      <c r="AJ8" s="94">
        <v>0</v>
      </c>
      <c r="AK8" s="193">
        <v>8.6580931181428795</v>
      </c>
      <c r="AL8" s="95">
        <v>2</v>
      </c>
      <c r="AM8" s="95">
        <v>2</v>
      </c>
      <c r="AN8" s="95">
        <v>0</v>
      </c>
      <c r="AO8" s="193" t="s">
        <v>983</v>
      </c>
    </row>
    <row r="9" spans="1:90" s="95" customFormat="1">
      <c r="A9" s="197" t="s">
        <v>793</v>
      </c>
      <c r="B9" s="198" t="s">
        <v>17</v>
      </c>
      <c r="C9" s="190" t="s">
        <v>77</v>
      </c>
      <c r="D9" s="191">
        <f t="shared" si="0"/>
        <v>70</v>
      </c>
      <c r="E9" s="192">
        <v>43794</v>
      </c>
      <c r="F9" s="192">
        <v>43864</v>
      </c>
      <c r="H9" s="94">
        <v>0</v>
      </c>
      <c r="I9" s="94">
        <v>31</v>
      </c>
      <c r="J9" s="94">
        <v>1</v>
      </c>
      <c r="K9" s="94">
        <v>0</v>
      </c>
      <c r="L9" s="94">
        <v>0</v>
      </c>
      <c r="M9" s="94">
        <v>1</v>
      </c>
      <c r="N9" s="193">
        <v>5.45022732075594</v>
      </c>
      <c r="O9" s="95">
        <v>3</v>
      </c>
      <c r="P9" s="95">
        <v>3</v>
      </c>
      <c r="Q9" s="95">
        <v>1</v>
      </c>
      <c r="R9" s="193" t="s">
        <v>920</v>
      </c>
      <c r="S9" s="94">
        <v>30</v>
      </c>
      <c r="T9" s="94">
        <v>4</v>
      </c>
      <c r="U9" s="195">
        <v>64</v>
      </c>
      <c r="V9" s="199">
        <v>2</v>
      </c>
      <c r="W9" s="194">
        <v>1</v>
      </c>
      <c r="X9" s="194">
        <v>0</v>
      </c>
      <c r="Y9" s="194">
        <v>1</v>
      </c>
      <c r="Z9" s="95">
        <v>6.11285474996959</v>
      </c>
      <c r="AA9" s="191">
        <v>2</v>
      </c>
      <c r="AB9" s="191">
        <v>3</v>
      </c>
      <c r="AC9" s="191">
        <v>2</v>
      </c>
      <c r="AD9" s="193" t="s">
        <v>861</v>
      </c>
      <c r="AE9" s="194">
        <v>422</v>
      </c>
      <c r="AF9" s="194">
        <v>198</v>
      </c>
      <c r="AG9" s="95">
        <v>2</v>
      </c>
      <c r="AH9" s="95">
        <v>3</v>
      </c>
      <c r="AI9" s="95">
        <v>1</v>
      </c>
      <c r="AJ9" s="95">
        <v>2</v>
      </c>
      <c r="AK9" s="193">
        <v>2.4938177807874302</v>
      </c>
      <c r="AL9" s="193">
        <v>0</v>
      </c>
      <c r="AM9" s="193">
        <v>1</v>
      </c>
      <c r="AN9" s="193">
        <v>0</v>
      </c>
      <c r="AO9" s="193" t="s">
        <v>984</v>
      </c>
    </row>
    <row r="10" spans="1:90" s="95" customFormat="1">
      <c r="A10" s="197" t="s">
        <v>794</v>
      </c>
      <c r="B10" s="198" t="s">
        <v>17</v>
      </c>
      <c r="C10" s="190" t="s">
        <v>77</v>
      </c>
      <c r="D10" s="191">
        <f t="shared" si="0"/>
        <v>70</v>
      </c>
      <c r="E10" s="192">
        <v>43794</v>
      </c>
      <c r="F10" s="192">
        <v>43864</v>
      </c>
      <c r="H10" s="94">
        <v>0</v>
      </c>
      <c r="I10" s="94">
        <v>103</v>
      </c>
      <c r="J10" s="94">
        <v>1</v>
      </c>
      <c r="K10" s="94">
        <v>2</v>
      </c>
      <c r="L10" s="94">
        <v>0</v>
      </c>
      <c r="M10" s="94">
        <v>0</v>
      </c>
      <c r="N10" s="193">
        <v>4.8068987521784496</v>
      </c>
      <c r="O10" s="95">
        <v>1</v>
      </c>
      <c r="P10" s="95">
        <v>1</v>
      </c>
      <c r="Q10" s="95">
        <v>0</v>
      </c>
      <c r="R10" s="193" t="s">
        <v>921</v>
      </c>
      <c r="S10" s="200">
        <v>21</v>
      </c>
      <c r="T10" s="94">
        <v>16</v>
      </c>
      <c r="U10" s="195">
        <f>6*60+6</f>
        <v>366</v>
      </c>
      <c r="V10" s="194">
        <v>9</v>
      </c>
      <c r="W10" s="194">
        <v>8</v>
      </c>
      <c r="X10" s="194">
        <v>2</v>
      </c>
      <c r="Y10" s="194">
        <v>5</v>
      </c>
      <c r="Z10" s="95">
        <v>3.0414555272050099</v>
      </c>
      <c r="AA10" s="191">
        <v>3</v>
      </c>
      <c r="AB10" s="191">
        <v>3</v>
      </c>
      <c r="AC10" s="191">
        <v>1</v>
      </c>
      <c r="AD10" s="193" t="s">
        <v>862</v>
      </c>
      <c r="AE10" s="194">
        <v>29</v>
      </c>
      <c r="AF10" s="194">
        <v>565</v>
      </c>
      <c r="AG10" s="95">
        <v>9</v>
      </c>
      <c r="AH10" s="95">
        <v>9</v>
      </c>
      <c r="AI10" s="95">
        <v>1</v>
      </c>
      <c r="AJ10" s="95">
        <v>7</v>
      </c>
      <c r="AK10" s="193">
        <v>5.2784226723429999</v>
      </c>
      <c r="AL10" s="95">
        <v>3</v>
      </c>
      <c r="AM10" s="95">
        <v>3</v>
      </c>
      <c r="AN10" s="95">
        <v>2</v>
      </c>
      <c r="AO10" s="193" t="s">
        <v>985</v>
      </c>
    </row>
    <row r="11" spans="1:90" s="95" customFormat="1">
      <c r="A11" s="197" t="s">
        <v>795</v>
      </c>
      <c r="B11" s="198" t="s">
        <v>41</v>
      </c>
      <c r="C11" s="190" t="s">
        <v>77</v>
      </c>
      <c r="D11" s="191">
        <f t="shared" si="0"/>
        <v>80</v>
      </c>
      <c r="E11" s="192">
        <v>43802</v>
      </c>
      <c r="F11" s="192">
        <v>43882</v>
      </c>
      <c r="H11" s="94">
        <v>0</v>
      </c>
      <c r="I11" s="94">
        <v>18</v>
      </c>
      <c r="J11" s="94">
        <v>1</v>
      </c>
      <c r="K11" s="94">
        <v>0</v>
      </c>
      <c r="L11" s="94">
        <v>0</v>
      </c>
      <c r="M11" s="94">
        <v>0</v>
      </c>
      <c r="N11" s="193">
        <v>8.7800887455750107</v>
      </c>
      <c r="O11" s="95">
        <v>1</v>
      </c>
      <c r="P11" s="95">
        <v>1</v>
      </c>
      <c r="Q11" s="95">
        <v>0</v>
      </c>
      <c r="R11" s="193" t="s">
        <v>922</v>
      </c>
      <c r="S11" s="94">
        <v>5</v>
      </c>
      <c r="T11" s="94">
        <v>2</v>
      </c>
      <c r="U11" s="195">
        <v>2</v>
      </c>
      <c r="V11" s="194">
        <v>0</v>
      </c>
      <c r="W11" s="194">
        <v>0</v>
      </c>
      <c r="X11" s="194">
        <v>0</v>
      </c>
      <c r="Y11" s="194">
        <v>0</v>
      </c>
      <c r="Z11" s="95">
        <v>12.8996048309124</v>
      </c>
      <c r="AA11" s="191">
        <v>0</v>
      </c>
      <c r="AB11" s="191">
        <v>1</v>
      </c>
      <c r="AC11" s="191">
        <v>0</v>
      </c>
      <c r="AD11" s="193" t="s">
        <v>863</v>
      </c>
      <c r="AE11" s="194">
        <v>1</v>
      </c>
      <c r="AF11" s="194">
        <v>230</v>
      </c>
      <c r="AG11" s="95">
        <v>7</v>
      </c>
      <c r="AH11" s="95">
        <v>8</v>
      </c>
      <c r="AI11" s="95">
        <v>3</v>
      </c>
      <c r="AJ11" s="95">
        <v>5</v>
      </c>
      <c r="AK11" s="193">
        <v>2.91673056525575</v>
      </c>
      <c r="AL11" s="193">
        <v>0</v>
      </c>
      <c r="AM11" s="193">
        <v>1</v>
      </c>
      <c r="AN11" s="193">
        <v>0</v>
      </c>
      <c r="AO11" s="193" t="s">
        <v>986</v>
      </c>
    </row>
    <row r="12" spans="1:90" s="95" customFormat="1">
      <c r="A12" s="197" t="s">
        <v>796</v>
      </c>
      <c r="B12" s="198" t="s">
        <v>41</v>
      </c>
      <c r="C12" s="190" t="s">
        <v>77</v>
      </c>
      <c r="D12" s="191">
        <f t="shared" si="0"/>
        <v>80</v>
      </c>
      <c r="E12" s="192">
        <v>43802</v>
      </c>
      <c r="F12" s="192">
        <v>43882</v>
      </c>
      <c r="H12" s="94">
        <v>0</v>
      </c>
      <c r="I12" s="94">
        <v>5</v>
      </c>
      <c r="J12" s="94">
        <v>0</v>
      </c>
      <c r="K12" s="94">
        <v>0</v>
      </c>
      <c r="L12" s="94">
        <v>0</v>
      </c>
      <c r="M12" s="94">
        <v>0</v>
      </c>
      <c r="N12" s="193">
        <v>8.3335789975522196</v>
      </c>
      <c r="O12" s="95">
        <v>0</v>
      </c>
      <c r="P12" s="95">
        <v>1</v>
      </c>
      <c r="Q12" s="95">
        <v>1</v>
      </c>
      <c r="R12" s="193" t="s">
        <v>923</v>
      </c>
      <c r="S12" s="94">
        <v>25</v>
      </c>
      <c r="T12" s="94">
        <v>7.5</v>
      </c>
      <c r="U12" s="195">
        <v>30</v>
      </c>
      <c r="V12" s="194">
        <v>4</v>
      </c>
      <c r="W12" s="194">
        <v>2</v>
      </c>
      <c r="X12" s="194">
        <v>0</v>
      </c>
      <c r="Y12" s="194">
        <v>2</v>
      </c>
      <c r="Z12" s="95">
        <v>2.3837890519978702</v>
      </c>
      <c r="AA12" s="191">
        <v>3</v>
      </c>
      <c r="AB12" s="191">
        <v>3</v>
      </c>
      <c r="AC12" s="191">
        <v>3</v>
      </c>
      <c r="AD12" s="193" t="s">
        <v>864</v>
      </c>
      <c r="AE12" s="194">
        <v>42</v>
      </c>
      <c r="AF12" s="194">
        <v>40</v>
      </c>
      <c r="AG12" s="94">
        <v>2</v>
      </c>
      <c r="AH12" s="94">
        <v>3</v>
      </c>
      <c r="AI12" s="95">
        <v>1</v>
      </c>
      <c r="AJ12" s="94">
        <v>0</v>
      </c>
      <c r="AK12" s="193">
        <v>8.5573725437717805</v>
      </c>
      <c r="AL12" s="95">
        <v>2</v>
      </c>
      <c r="AM12" s="95">
        <v>1</v>
      </c>
      <c r="AN12" s="95">
        <v>2</v>
      </c>
      <c r="AO12" s="193" t="s">
        <v>987</v>
      </c>
    </row>
    <row r="13" spans="1:90" s="95" customFormat="1">
      <c r="A13" s="197" t="s">
        <v>797</v>
      </c>
      <c r="B13" s="198" t="s">
        <v>17</v>
      </c>
      <c r="C13" s="190" t="s">
        <v>77</v>
      </c>
      <c r="D13" s="191">
        <f t="shared" si="0"/>
        <v>80</v>
      </c>
      <c r="E13" s="192">
        <v>43802</v>
      </c>
      <c r="F13" s="192">
        <v>43882</v>
      </c>
      <c r="H13" s="94">
        <v>0</v>
      </c>
      <c r="I13" s="94">
        <v>4</v>
      </c>
      <c r="J13" s="94">
        <v>0</v>
      </c>
      <c r="K13" s="94">
        <v>0</v>
      </c>
      <c r="L13" s="94">
        <v>0</v>
      </c>
      <c r="M13" s="94">
        <v>0</v>
      </c>
      <c r="N13" s="193">
        <v>17.5966089175209</v>
      </c>
      <c r="O13" s="95">
        <v>0</v>
      </c>
      <c r="P13" s="95">
        <v>1</v>
      </c>
      <c r="Q13" s="95">
        <v>0</v>
      </c>
      <c r="R13" s="193" t="s">
        <v>924</v>
      </c>
      <c r="S13" s="94">
        <v>19</v>
      </c>
      <c r="T13" s="94">
        <v>11</v>
      </c>
      <c r="U13" s="195">
        <v>296</v>
      </c>
      <c r="V13" s="194">
        <v>5</v>
      </c>
      <c r="W13" s="194">
        <v>4</v>
      </c>
      <c r="X13" s="194">
        <v>1</v>
      </c>
      <c r="Y13" s="194">
        <v>5</v>
      </c>
      <c r="Z13" s="95">
        <v>6.82489021848947</v>
      </c>
      <c r="AA13" s="191">
        <v>0</v>
      </c>
      <c r="AB13" s="191">
        <v>1</v>
      </c>
      <c r="AC13" s="191">
        <v>0</v>
      </c>
      <c r="AD13" s="193" t="s">
        <v>865</v>
      </c>
      <c r="AE13" s="194">
        <v>0.1</v>
      </c>
      <c r="AF13" s="194">
        <v>125</v>
      </c>
      <c r="AG13" s="94">
        <v>3</v>
      </c>
      <c r="AH13" s="94">
        <v>2</v>
      </c>
      <c r="AI13" s="95">
        <v>1</v>
      </c>
      <c r="AJ13" s="94">
        <v>0</v>
      </c>
      <c r="AK13" s="193">
        <v>2.70415829426471</v>
      </c>
      <c r="AL13" s="193">
        <v>0</v>
      </c>
      <c r="AM13" s="193">
        <v>1</v>
      </c>
      <c r="AN13" s="193">
        <v>0</v>
      </c>
      <c r="AO13" s="193" t="s">
        <v>988</v>
      </c>
    </row>
    <row r="14" spans="1:90" s="95" customFormat="1">
      <c r="A14" s="197" t="s">
        <v>798</v>
      </c>
      <c r="B14" s="198" t="s">
        <v>17</v>
      </c>
      <c r="C14" s="190" t="s">
        <v>77</v>
      </c>
      <c r="D14" s="191">
        <f t="shared" si="0"/>
        <v>50</v>
      </c>
      <c r="E14" s="192">
        <v>43970</v>
      </c>
      <c r="F14" s="192">
        <v>44020</v>
      </c>
      <c r="H14" s="94">
        <v>0</v>
      </c>
      <c r="I14" s="94">
        <v>140</v>
      </c>
      <c r="J14" s="94">
        <v>2</v>
      </c>
      <c r="K14" s="94">
        <v>0</v>
      </c>
      <c r="L14" s="94">
        <v>0</v>
      </c>
      <c r="M14" s="94">
        <v>5</v>
      </c>
      <c r="N14" s="193">
        <v>9.6983410974461304</v>
      </c>
      <c r="O14" s="95">
        <v>2</v>
      </c>
      <c r="P14" s="95">
        <v>1</v>
      </c>
      <c r="Q14" s="95">
        <v>2</v>
      </c>
      <c r="R14" s="193" t="s">
        <v>925</v>
      </c>
      <c r="S14" s="94">
        <v>7</v>
      </c>
      <c r="T14" s="94">
        <v>2.5</v>
      </c>
      <c r="U14" s="195">
        <v>11</v>
      </c>
      <c r="V14" s="194">
        <v>0</v>
      </c>
      <c r="W14" s="194">
        <v>0</v>
      </c>
      <c r="X14" s="194">
        <v>0</v>
      </c>
      <c r="Y14" s="194">
        <v>0</v>
      </c>
      <c r="Z14" s="95">
        <v>8.1789085042432692</v>
      </c>
      <c r="AA14" s="191">
        <v>2</v>
      </c>
      <c r="AB14" s="191">
        <v>3</v>
      </c>
      <c r="AC14" s="191">
        <v>2</v>
      </c>
      <c r="AD14" s="193" t="s">
        <v>866</v>
      </c>
      <c r="AE14" s="194">
        <v>14</v>
      </c>
      <c r="AF14" s="194">
        <v>11</v>
      </c>
      <c r="AG14" s="94">
        <v>1</v>
      </c>
      <c r="AH14" s="94">
        <v>1</v>
      </c>
      <c r="AI14" s="95">
        <v>1</v>
      </c>
      <c r="AJ14" s="94">
        <v>0</v>
      </c>
      <c r="AK14" s="193">
        <v>4.1309756171741796</v>
      </c>
      <c r="AL14" s="193">
        <v>0</v>
      </c>
      <c r="AM14" s="193">
        <v>2</v>
      </c>
      <c r="AN14" s="193">
        <v>1</v>
      </c>
      <c r="AO14" s="193" t="s">
        <v>989</v>
      </c>
    </row>
    <row r="15" spans="1:90" s="95" customFormat="1">
      <c r="A15" s="197" t="s">
        <v>799</v>
      </c>
      <c r="B15" s="198" t="s">
        <v>41</v>
      </c>
      <c r="C15" s="190" t="s">
        <v>77</v>
      </c>
      <c r="D15" s="191">
        <v>63</v>
      </c>
      <c r="E15" s="201">
        <v>43756</v>
      </c>
      <c r="F15" s="192">
        <v>43819</v>
      </c>
      <c r="H15" s="94">
        <v>0</v>
      </c>
      <c r="I15" s="94">
        <v>4</v>
      </c>
      <c r="J15" s="94">
        <v>0</v>
      </c>
      <c r="K15" s="94">
        <v>0</v>
      </c>
      <c r="L15" s="94">
        <v>0</v>
      </c>
      <c r="M15" s="94">
        <v>0</v>
      </c>
      <c r="N15" s="193">
        <v>1.7659913637129201</v>
      </c>
      <c r="O15" s="95">
        <v>0</v>
      </c>
      <c r="P15" s="95">
        <v>1</v>
      </c>
      <c r="Q15" s="95">
        <v>0</v>
      </c>
      <c r="R15" s="193" t="s">
        <v>926</v>
      </c>
      <c r="S15" s="94">
        <v>4</v>
      </c>
      <c r="T15" s="94">
        <v>0.5</v>
      </c>
      <c r="U15" s="195">
        <v>2</v>
      </c>
      <c r="V15" s="194">
        <v>0</v>
      </c>
      <c r="W15" s="194">
        <v>0</v>
      </c>
      <c r="X15" s="194">
        <v>0</v>
      </c>
      <c r="Y15" s="194">
        <v>0</v>
      </c>
      <c r="Z15" s="95">
        <v>14.250866576933801</v>
      </c>
      <c r="AA15" s="191">
        <v>0</v>
      </c>
      <c r="AB15" s="191">
        <v>1</v>
      </c>
      <c r="AC15" s="191">
        <v>0</v>
      </c>
      <c r="AD15" s="193" t="s">
        <v>867</v>
      </c>
      <c r="AE15" s="194">
        <v>16</v>
      </c>
      <c r="AF15" s="194">
        <v>33</v>
      </c>
      <c r="AG15" s="94">
        <v>0</v>
      </c>
      <c r="AH15" s="94">
        <v>1</v>
      </c>
      <c r="AI15" s="95">
        <v>0</v>
      </c>
      <c r="AJ15" s="94">
        <v>1</v>
      </c>
      <c r="AK15" s="193">
        <v>9.84561212308145</v>
      </c>
      <c r="AL15" s="193">
        <v>2</v>
      </c>
      <c r="AM15" s="193">
        <v>3</v>
      </c>
      <c r="AN15" s="193">
        <v>4</v>
      </c>
      <c r="AO15" s="193" t="s">
        <v>990</v>
      </c>
    </row>
    <row r="16" spans="1:90" s="95" customFormat="1">
      <c r="A16" s="197" t="s">
        <v>800</v>
      </c>
      <c r="B16" s="198" t="s">
        <v>17</v>
      </c>
      <c r="C16" s="190" t="s">
        <v>77</v>
      </c>
      <c r="D16" s="191">
        <v>54</v>
      </c>
      <c r="E16" s="202">
        <v>43992</v>
      </c>
      <c r="F16" s="202">
        <v>44046</v>
      </c>
      <c r="H16" s="94">
        <v>0</v>
      </c>
      <c r="I16" s="94">
        <v>4</v>
      </c>
      <c r="J16" s="94">
        <v>0</v>
      </c>
      <c r="K16" s="94">
        <v>0</v>
      </c>
      <c r="L16" s="94">
        <v>0</v>
      </c>
      <c r="M16" s="94">
        <v>0</v>
      </c>
      <c r="N16" s="193">
        <v>7.5877603937035198</v>
      </c>
      <c r="O16" s="95">
        <v>0</v>
      </c>
      <c r="P16" s="95">
        <v>1</v>
      </c>
      <c r="Q16" s="95">
        <v>0</v>
      </c>
      <c r="R16" s="193" t="s">
        <v>927</v>
      </c>
      <c r="S16" s="94">
        <v>4</v>
      </c>
      <c r="T16" s="94">
        <v>1</v>
      </c>
      <c r="U16" s="195">
        <v>55</v>
      </c>
      <c r="V16" s="194">
        <v>3</v>
      </c>
      <c r="W16" s="194">
        <v>2</v>
      </c>
      <c r="X16" s="194">
        <v>0</v>
      </c>
      <c r="Y16" s="194">
        <v>2</v>
      </c>
      <c r="Z16" s="95">
        <v>0.70483344554296801</v>
      </c>
      <c r="AA16" s="191">
        <v>3</v>
      </c>
      <c r="AB16" s="191">
        <v>3</v>
      </c>
      <c r="AC16" s="191">
        <v>4</v>
      </c>
      <c r="AD16" s="193" t="s">
        <v>868</v>
      </c>
      <c r="AE16" s="194">
        <v>19</v>
      </c>
      <c r="AF16" s="194">
        <v>120</v>
      </c>
      <c r="AG16" s="94">
        <v>7</v>
      </c>
      <c r="AH16" s="94">
        <v>5</v>
      </c>
      <c r="AI16" s="95">
        <v>0</v>
      </c>
      <c r="AJ16" s="94">
        <v>1</v>
      </c>
      <c r="AK16" s="193">
        <v>7.8402270393322597</v>
      </c>
      <c r="AL16" s="193">
        <v>0</v>
      </c>
      <c r="AM16" s="193">
        <v>1</v>
      </c>
      <c r="AN16" s="193">
        <v>1</v>
      </c>
      <c r="AO16" s="193" t="s">
        <v>991</v>
      </c>
    </row>
    <row r="17" spans="1:41" s="53" customFormat="1">
      <c r="A17" s="203" t="s">
        <v>801</v>
      </c>
      <c r="B17" s="204" t="s">
        <v>41</v>
      </c>
      <c r="C17" s="205" t="s">
        <v>802</v>
      </c>
      <c r="D17" s="206">
        <f t="shared" si="0"/>
        <v>56</v>
      </c>
      <c r="E17" s="207">
        <v>43692</v>
      </c>
      <c r="F17" s="207">
        <v>43748</v>
      </c>
      <c r="H17" s="208">
        <v>1</v>
      </c>
      <c r="I17" s="53">
        <v>2.5</v>
      </c>
      <c r="J17" s="208">
        <v>0</v>
      </c>
      <c r="K17" s="208">
        <v>0</v>
      </c>
      <c r="L17" s="208">
        <v>0</v>
      </c>
      <c r="M17" s="208">
        <v>0</v>
      </c>
      <c r="N17" s="209">
        <v>12.0601520947537</v>
      </c>
      <c r="O17" s="53">
        <v>0</v>
      </c>
      <c r="P17" s="53">
        <v>1</v>
      </c>
      <c r="Q17" s="53">
        <v>0</v>
      </c>
      <c r="R17" s="209" t="s">
        <v>928</v>
      </c>
      <c r="S17" s="208">
        <v>37</v>
      </c>
      <c r="T17" s="208">
        <v>29.5</v>
      </c>
      <c r="U17" s="210">
        <v>1</v>
      </c>
      <c r="V17" s="211">
        <v>0</v>
      </c>
      <c r="W17" s="211">
        <v>0</v>
      </c>
      <c r="X17" s="211">
        <v>0</v>
      </c>
      <c r="Y17" s="211">
        <v>0</v>
      </c>
      <c r="Z17" s="53">
        <v>12.863812452532001</v>
      </c>
      <c r="AA17" s="206">
        <v>0</v>
      </c>
      <c r="AB17" s="212">
        <v>2</v>
      </c>
      <c r="AC17" s="212">
        <v>0</v>
      </c>
      <c r="AD17" s="209" t="s">
        <v>869</v>
      </c>
      <c r="AE17" s="211">
        <v>595</v>
      </c>
      <c r="AF17" s="211">
        <v>203</v>
      </c>
      <c r="AG17" s="208">
        <v>9</v>
      </c>
      <c r="AH17" s="208">
        <v>13</v>
      </c>
      <c r="AI17" s="53">
        <v>2</v>
      </c>
      <c r="AJ17" s="208">
        <v>3</v>
      </c>
      <c r="AK17" s="209">
        <v>13.080370400537101</v>
      </c>
      <c r="AL17" s="53">
        <v>3</v>
      </c>
      <c r="AM17" s="53">
        <v>3</v>
      </c>
      <c r="AN17" s="53">
        <v>1</v>
      </c>
      <c r="AO17" s="209" t="s">
        <v>992</v>
      </c>
    </row>
    <row r="18" spans="1:41" s="53" customFormat="1">
      <c r="A18" s="203" t="s">
        <v>803</v>
      </c>
      <c r="B18" s="204" t="s">
        <v>41</v>
      </c>
      <c r="C18" s="205" t="s">
        <v>802</v>
      </c>
      <c r="D18" s="212">
        <f t="shared" si="0"/>
        <v>56</v>
      </c>
      <c r="E18" s="213">
        <v>43692</v>
      </c>
      <c r="F18" s="213">
        <v>43748</v>
      </c>
      <c r="H18" s="208">
        <v>1</v>
      </c>
      <c r="I18" s="53">
        <v>4</v>
      </c>
      <c r="J18" s="53">
        <v>0</v>
      </c>
      <c r="K18" s="53">
        <v>0</v>
      </c>
      <c r="L18" s="53">
        <v>0</v>
      </c>
      <c r="M18" s="53">
        <v>0</v>
      </c>
      <c r="N18" s="209">
        <v>5.0524850535185202</v>
      </c>
      <c r="O18" s="53">
        <v>0</v>
      </c>
      <c r="P18" s="53">
        <v>1</v>
      </c>
      <c r="Q18" s="53">
        <v>0</v>
      </c>
      <c r="R18" s="209" t="s">
        <v>929</v>
      </c>
      <c r="S18" s="53">
        <v>26</v>
      </c>
      <c r="T18" s="53">
        <v>12</v>
      </c>
      <c r="U18" s="53">
        <v>15</v>
      </c>
      <c r="V18" s="208">
        <v>1</v>
      </c>
      <c r="W18" s="208">
        <v>0</v>
      </c>
      <c r="X18" s="208">
        <v>0</v>
      </c>
      <c r="Y18" s="208">
        <v>1</v>
      </c>
      <c r="Z18" s="53">
        <v>13.760605450579099</v>
      </c>
      <c r="AA18" s="206">
        <v>3</v>
      </c>
      <c r="AB18" s="212">
        <v>2</v>
      </c>
      <c r="AC18" s="212">
        <v>0</v>
      </c>
      <c r="AD18" s="209" t="s">
        <v>870</v>
      </c>
      <c r="AE18" s="53">
        <v>585</v>
      </c>
      <c r="AF18" s="53">
        <v>19</v>
      </c>
      <c r="AG18" s="53">
        <v>2</v>
      </c>
      <c r="AH18" s="53">
        <v>1</v>
      </c>
      <c r="AI18" s="53">
        <v>0</v>
      </c>
      <c r="AJ18" s="53">
        <v>1</v>
      </c>
      <c r="AK18" s="209">
        <v>10.162218374040201</v>
      </c>
      <c r="AL18" s="53">
        <v>0</v>
      </c>
      <c r="AM18" s="53">
        <v>1</v>
      </c>
      <c r="AN18" s="53">
        <v>0</v>
      </c>
      <c r="AO18" s="209" t="s">
        <v>993</v>
      </c>
    </row>
    <row r="19" spans="1:41" s="53" customFormat="1">
      <c r="A19" s="203" t="s">
        <v>804</v>
      </c>
      <c r="B19" s="204" t="s">
        <v>41</v>
      </c>
      <c r="C19" s="205" t="s">
        <v>802</v>
      </c>
      <c r="D19" s="206">
        <f t="shared" si="0"/>
        <v>55</v>
      </c>
      <c r="E19" s="207">
        <v>43731</v>
      </c>
      <c r="F19" s="207">
        <v>43786</v>
      </c>
      <c r="H19" s="208">
        <v>1</v>
      </c>
      <c r="I19" s="53">
        <v>5</v>
      </c>
      <c r="J19" s="208">
        <v>0</v>
      </c>
      <c r="K19" s="208">
        <v>0</v>
      </c>
      <c r="L19" s="208">
        <v>0</v>
      </c>
      <c r="M19" s="208">
        <v>0</v>
      </c>
      <c r="N19" s="209">
        <v>10</v>
      </c>
      <c r="O19" s="53">
        <v>0</v>
      </c>
      <c r="P19" s="53">
        <v>1</v>
      </c>
      <c r="Q19" s="53">
        <v>0</v>
      </c>
      <c r="R19" s="209" t="s">
        <v>930</v>
      </c>
      <c r="S19" s="208">
        <v>5</v>
      </c>
      <c r="T19" s="208">
        <v>3</v>
      </c>
      <c r="U19" s="210">
        <v>1</v>
      </c>
      <c r="V19" s="211">
        <v>0</v>
      </c>
      <c r="W19" s="211">
        <v>0</v>
      </c>
      <c r="X19" s="211">
        <v>0</v>
      </c>
      <c r="Y19" s="211">
        <v>0</v>
      </c>
      <c r="Z19" s="53">
        <v>15.6053185679752</v>
      </c>
      <c r="AA19" s="206">
        <v>0</v>
      </c>
      <c r="AB19" s="212">
        <v>2</v>
      </c>
      <c r="AC19" s="212">
        <v>0</v>
      </c>
      <c r="AD19" s="209" t="s">
        <v>871</v>
      </c>
      <c r="AE19" s="211">
        <v>460</v>
      </c>
      <c r="AF19" s="211">
        <v>503</v>
      </c>
      <c r="AG19" s="208">
        <v>12</v>
      </c>
      <c r="AH19" s="208">
        <v>15</v>
      </c>
      <c r="AI19" s="53">
        <v>0</v>
      </c>
      <c r="AJ19" s="208">
        <v>11</v>
      </c>
      <c r="AK19" s="209">
        <v>6.7759066964982297</v>
      </c>
      <c r="AL19" s="53">
        <v>3</v>
      </c>
      <c r="AM19" s="53">
        <v>3</v>
      </c>
      <c r="AN19" s="53">
        <v>2</v>
      </c>
      <c r="AO19" s="209" t="s">
        <v>994</v>
      </c>
    </row>
    <row r="20" spans="1:41" s="53" customFormat="1">
      <c r="A20" s="203" t="s">
        <v>805</v>
      </c>
      <c r="B20" s="204" t="s">
        <v>41</v>
      </c>
      <c r="C20" s="205" t="s">
        <v>802</v>
      </c>
      <c r="D20" s="206">
        <f t="shared" si="0"/>
        <v>63</v>
      </c>
      <c r="E20" s="207">
        <v>43756</v>
      </c>
      <c r="F20" s="207">
        <v>43819</v>
      </c>
      <c r="H20" s="208">
        <v>1</v>
      </c>
      <c r="I20" s="53">
        <v>5.5</v>
      </c>
      <c r="J20" s="208">
        <v>0</v>
      </c>
      <c r="K20" s="208">
        <v>0</v>
      </c>
      <c r="L20" s="208">
        <v>0</v>
      </c>
      <c r="M20" s="208">
        <v>0</v>
      </c>
      <c r="N20" s="209">
        <v>4.4944943546707901</v>
      </c>
      <c r="O20" s="53">
        <v>0</v>
      </c>
      <c r="P20" s="53">
        <v>1</v>
      </c>
      <c r="Q20" s="53">
        <v>1</v>
      </c>
      <c r="R20" s="209" t="s">
        <v>931</v>
      </c>
      <c r="S20" s="208">
        <v>10</v>
      </c>
      <c r="T20" s="208">
        <v>4</v>
      </c>
      <c r="U20" s="210">
        <v>9</v>
      </c>
      <c r="V20" s="211">
        <v>0</v>
      </c>
      <c r="W20" s="211">
        <v>0</v>
      </c>
      <c r="X20" s="211">
        <v>0</v>
      </c>
      <c r="Y20" s="211">
        <v>1</v>
      </c>
      <c r="Z20" s="53">
        <v>19.2717627875715</v>
      </c>
      <c r="AA20" s="206">
        <v>3</v>
      </c>
      <c r="AB20" s="206">
        <v>3</v>
      </c>
      <c r="AC20" s="206">
        <v>2</v>
      </c>
      <c r="AD20" s="209" t="s">
        <v>872</v>
      </c>
      <c r="AE20" s="211">
        <v>59</v>
      </c>
      <c r="AF20" s="211">
        <v>334</v>
      </c>
      <c r="AG20" s="53">
        <v>8</v>
      </c>
      <c r="AH20" s="53">
        <v>5</v>
      </c>
      <c r="AI20" s="53">
        <v>0</v>
      </c>
      <c r="AJ20" s="53">
        <v>2</v>
      </c>
      <c r="AK20" s="209">
        <v>2.50382587815698</v>
      </c>
      <c r="AL20" s="53">
        <v>2</v>
      </c>
      <c r="AM20" s="53">
        <v>1</v>
      </c>
      <c r="AN20" s="53">
        <v>1</v>
      </c>
      <c r="AO20" s="209" t="s">
        <v>995</v>
      </c>
    </row>
    <row r="21" spans="1:41" s="53" customFormat="1">
      <c r="A21" s="203" t="s">
        <v>806</v>
      </c>
      <c r="B21" s="204" t="s">
        <v>17</v>
      </c>
      <c r="C21" s="205" t="s">
        <v>802</v>
      </c>
      <c r="D21" s="206">
        <f t="shared" si="0"/>
        <v>50</v>
      </c>
      <c r="E21" s="207">
        <v>43794</v>
      </c>
      <c r="F21" s="207">
        <v>43844</v>
      </c>
      <c r="H21" s="208">
        <v>1</v>
      </c>
      <c r="I21" s="53">
        <v>15</v>
      </c>
      <c r="J21" s="208">
        <v>1</v>
      </c>
      <c r="K21" s="208">
        <v>0</v>
      </c>
      <c r="L21" s="208">
        <v>0</v>
      </c>
      <c r="M21" s="208">
        <v>0</v>
      </c>
      <c r="N21" s="209">
        <v>11.518229934782999</v>
      </c>
      <c r="O21" s="53">
        <v>3</v>
      </c>
      <c r="P21" s="53">
        <v>3</v>
      </c>
      <c r="Q21" s="53">
        <v>1</v>
      </c>
      <c r="R21" s="209" t="s">
        <v>932</v>
      </c>
      <c r="S21" s="208">
        <f>(745-580)/30</f>
        <v>5.5</v>
      </c>
      <c r="T21" s="215">
        <v>2</v>
      </c>
      <c r="U21" s="210">
        <f>60+36</f>
        <v>96</v>
      </c>
      <c r="V21" s="211">
        <v>1</v>
      </c>
      <c r="W21" s="211">
        <v>0</v>
      </c>
      <c r="X21" s="211">
        <v>0</v>
      </c>
      <c r="Y21" s="211">
        <v>2</v>
      </c>
      <c r="Z21" s="53">
        <v>3.0752327224860401</v>
      </c>
      <c r="AA21" s="206">
        <v>0</v>
      </c>
      <c r="AB21" s="212">
        <v>1</v>
      </c>
      <c r="AC21" s="212">
        <v>1</v>
      </c>
      <c r="AD21" s="209" t="s">
        <v>873</v>
      </c>
      <c r="AE21" s="211">
        <v>250</v>
      </c>
      <c r="AF21" s="211">
        <v>10</v>
      </c>
      <c r="AG21" s="208">
        <v>1</v>
      </c>
      <c r="AH21" s="208">
        <v>1</v>
      </c>
      <c r="AI21" s="53">
        <v>1</v>
      </c>
      <c r="AJ21" s="208">
        <v>0</v>
      </c>
      <c r="AK21" s="209">
        <v>7.6662097381992496</v>
      </c>
      <c r="AL21" s="53">
        <v>2</v>
      </c>
      <c r="AM21" s="53">
        <v>1</v>
      </c>
      <c r="AN21" s="53">
        <v>2</v>
      </c>
      <c r="AO21" s="209" t="s">
        <v>996</v>
      </c>
    </row>
    <row r="22" spans="1:41" s="53" customFormat="1">
      <c r="A22" s="203" t="s">
        <v>807</v>
      </c>
      <c r="B22" s="204" t="s">
        <v>17</v>
      </c>
      <c r="C22" s="205" t="s">
        <v>802</v>
      </c>
      <c r="D22" s="206">
        <f t="shared" si="0"/>
        <v>69</v>
      </c>
      <c r="E22" s="207">
        <v>43794</v>
      </c>
      <c r="F22" s="207">
        <v>43863</v>
      </c>
      <c r="H22" s="208">
        <v>1</v>
      </c>
      <c r="I22" s="53">
        <v>2.5</v>
      </c>
      <c r="J22" s="208">
        <v>0</v>
      </c>
      <c r="K22" s="208">
        <v>0</v>
      </c>
      <c r="L22" s="208">
        <v>0</v>
      </c>
      <c r="M22" s="208">
        <v>0</v>
      </c>
      <c r="N22" s="209">
        <v>13.633797542017</v>
      </c>
      <c r="O22" s="53">
        <v>0</v>
      </c>
      <c r="P22" s="53">
        <v>1</v>
      </c>
      <c r="Q22" s="53">
        <v>0</v>
      </c>
      <c r="R22" s="209" t="s">
        <v>933</v>
      </c>
      <c r="S22" s="208">
        <v>7</v>
      </c>
      <c r="T22" s="208">
        <v>0.5</v>
      </c>
      <c r="U22" s="210">
        <f>132</f>
        <v>132</v>
      </c>
      <c r="V22" s="211">
        <v>5</v>
      </c>
      <c r="W22" s="211">
        <v>4</v>
      </c>
      <c r="X22" s="211">
        <v>0</v>
      </c>
      <c r="Y22" s="211">
        <v>1</v>
      </c>
      <c r="Z22" s="53">
        <v>6.1142557613615098</v>
      </c>
      <c r="AA22" s="206">
        <v>0</v>
      </c>
      <c r="AB22" s="212">
        <v>2</v>
      </c>
      <c r="AC22" s="212">
        <v>0</v>
      </c>
      <c r="AD22" s="209" t="s">
        <v>874</v>
      </c>
      <c r="AE22" s="211">
        <v>15</v>
      </c>
      <c r="AF22" s="211">
        <v>3</v>
      </c>
      <c r="AG22" s="208">
        <v>0</v>
      </c>
      <c r="AH22" s="208">
        <v>0</v>
      </c>
      <c r="AI22" s="53">
        <v>0</v>
      </c>
      <c r="AJ22" s="208">
        <v>0</v>
      </c>
      <c r="AK22" s="209">
        <v>14.270564411708101</v>
      </c>
      <c r="AL22" s="53">
        <v>1</v>
      </c>
      <c r="AM22" s="53">
        <v>1</v>
      </c>
      <c r="AN22" s="53">
        <v>1</v>
      </c>
      <c r="AO22" s="209" t="s">
        <v>997</v>
      </c>
    </row>
    <row r="23" spans="1:41" s="53" customFormat="1">
      <c r="A23" s="203" t="s">
        <v>808</v>
      </c>
      <c r="B23" s="204" t="s">
        <v>41</v>
      </c>
      <c r="C23" s="205" t="s">
        <v>802</v>
      </c>
      <c r="D23" s="206">
        <f t="shared" si="0"/>
        <v>80</v>
      </c>
      <c r="E23" s="207">
        <v>43802</v>
      </c>
      <c r="F23" s="207">
        <v>43882</v>
      </c>
      <c r="H23" s="208">
        <v>1</v>
      </c>
      <c r="I23" s="53">
        <v>11</v>
      </c>
      <c r="J23" s="208">
        <v>0</v>
      </c>
      <c r="K23" s="208">
        <v>0</v>
      </c>
      <c r="L23" s="208">
        <v>0</v>
      </c>
      <c r="M23" s="208">
        <v>1</v>
      </c>
      <c r="N23" s="209">
        <v>13.546738848080601</v>
      </c>
      <c r="O23" s="53">
        <v>0</v>
      </c>
      <c r="P23" s="53">
        <v>1</v>
      </c>
      <c r="Q23" s="53">
        <v>0</v>
      </c>
      <c r="R23" s="209" t="s">
        <v>934</v>
      </c>
      <c r="S23" s="208">
        <v>25</v>
      </c>
      <c r="T23" s="208">
        <v>16</v>
      </c>
      <c r="U23" s="210">
        <v>11</v>
      </c>
      <c r="V23" s="211">
        <v>0</v>
      </c>
      <c r="W23" s="211">
        <v>0</v>
      </c>
      <c r="X23" s="211">
        <v>0</v>
      </c>
      <c r="Y23" s="211">
        <v>1</v>
      </c>
      <c r="Z23" s="53">
        <v>10.9843149767201</v>
      </c>
      <c r="AA23" s="206">
        <v>3</v>
      </c>
      <c r="AB23" s="212">
        <v>2</v>
      </c>
      <c r="AC23" s="212">
        <v>1</v>
      </c>
      <c r="AD23" s="209" t="s">
        <v>875</v>
      </c>
      <c r="AE23" s="211">
        <v>583</v>
      </c>
      <c r="AF23" s="211">
        <v>270</v>
      </c>
      <c r="AG23" s="53">
        <v>6</v>
      </c>
      <c r="AH23" s="53">
        <v>7</v>
      </c>
      <c r="AI23" s="53">
        <v>0</v>
      </c>
      <c r="AJ23" s="53">
        <v>8</v>
      </c>
      <c r="AK23" s="209">
        <v>11.7333380925408</v>
      </c>
      <c r="AL23" s="209">
        <v>0</v>
      </c>
      <c r="AM23" s="209">
        <v>1</v>
      </c>
      <c r="AN23" s="209">
        <v>0</v>
      </c>
      <c r="AO23" s="209" t="s">
        <v>998</v>
      </c>
    </row>
    <row r="24" spans="1:41" s="53" customFormat="1">
      <c r="A24" s="203" t="s">
        <v>809</v>
      </c>
      <c r="B24" s="204" t="s">
        <v>17</v>
      </c>
      <c r="C24" s="205" t="s">
        <v>802</v>
      </c>
      <c r="D24" s="206">
        <f t="shared" si="0"/>
        <v>50</v>
      </c>
      <c r="E24" s="216">
        <v>43970</v>
      </c>
      <c r="F24" s="207">
        <v>44020</v>
      </c>
      <c r="H24" s="208">
        <v>1</v>
      </c>
      <c r="I24" s="53">
        <v>7</v>
      </c>
      <c r="J24" s="208">
        <v>0</v>
      </c>
      <c r="K24" s="208">
        <v>0</v>
      </c>
      <c r="L24" s="208">
        <v>0</v>
      </c>
      <c r="M24" s="208">
        <v>0</v>
      </c>
      <c r="N24" s="209">
        <v>4.9680331476880299</v>
      </c>
      <c r="O24" s="53">
        <v>1</v>
      </c>
      <c r="P24" s="53">
        <v>1</v>
      </c>
      <c r="Q24" s="53">
        <v>0</v>
      </c>
      <c r="R24" s="209" t="s">
        <v>935</v>
      </c>
      <c r="S24" s="208">
        <v>10</v>
      </c>
      <c r="T24" s="208">
        <v>2.5</v>
      </c>
      <c r="U24" s="210">
        <v>3</v>
      </c>
      <c r="V24" s="211">
        <v>0</v>
      </c>
      <c r="W24" s="211">
        <v>0</v>
      </c>
      <c r="X24" s="211">
        <v>0</v>
      </c>
      <c r="Y24" s="211">
        <v>0</v>
      </c>
      <c r="Z24" s="53">
        <v>16.332256920481498</v>
      </c>
      <c r="AA24" s="206">
        <v>0</v>
      </c>
      <c r="AB24" s="212">
        <v>2</v>
      </c>
      <c r="AC24" s="212">
        <v>1</v>
      </c>
      <c r="AD24" s="209" t="s">
        <v>876</v>
      </c>
      <c r="AE24" s="211">
        <v>23</v>
      </c>
      <c r="AF24" s="211">
        <v>103</v>
      </c>
      <c r="AG24" s="53">
        <v>6</v>
      </c>
      <c r="AH24" s="53">
        <v>7</v>
      </c>
      <c r="AI24" s="53">
        <v>2</v>
      </c>
      <c r="AJ24" s="208">
        <v>0</v>
      </c>
      <c r="AK24" s="209">
        <v>2.3552477496751698</v>
      </c>
      <c r="AL24" s="209">
        <v>0</v>
      </c>
      <c r="AM24" s="209">
        <v>2</v>
      </c>
      <c r="AN24" s="209">
        <v>0</v>
      </c>
      <c r="AO24" s="209" t="s">
        <v>999</v>
      </c>
    </row>
    <row r="25" spans="1:41" s="53" customFormat="1">
      <c r="A25" s="203" t="s">
        <v>810</v>
      </c>
      <c r="B25" s="204" t="s">
        <v>17</v>
      </c>
      <c r="C25" s="205" t="s">
        <v>802</v>
      </c>
      <c r="D25" s="206">
        <f t="shared" si="0"/>
        <v>65</v>
      </c>
      <c r="E25" s="207">
        <v>44022</v>
      </c>
      <c r="F25" s="207">
        <v>44087</v>
      </c>
      <c r="H25" s="208">
        <v>1</v>
      </c>
      <c r="I25" s="53">
        <v>5</v>
      </c>
      <c r="J25" s="208">
        <v>0</v>
      </c>
      <c r="K25" s="208">
        <v>0</v>
      </c>
      <c r="L25" s="208">
        <v>0</v>
      </c>
      <c r="M25" s="208">
        <v>0</v>
      </c>
      <c r="N25" s="209">
        <v>8.3323400932191696</v>
      </c>
      <c r="O25" s="53">
        <v>1</v>
      </c>
      <c r="P25" s="53">
        <v>1</v>
      </c>
      <c r="Q25" s="53">
        <v>0</v>
      </c>
      <c r="R25" s="209" t="s">
        <v>936</v>
      </c>
      <c r="S25" s="208">
        <v>28</v>
      </c>
      <c r="T25" s="208">
        <v>17</v>
      </c>
      <c r="U25" s="210">
        <v>5</v>
      </c>
      <c r="V25" s="211">
        <v>0</v>
      </c>
      <c r="W25" s="211">
        <v>0</v>
      </c>
      <c r="X25" s="211">
        <v>0</v>
      </c>
      <c r="Y25" s="211">
        <v>0</v>
      </c>
      <c r="Z25" s="53">
        <v>14.6762444727089</v>
      </c>
      <c r="AA25" s="206">
        <v>2</v>
      </c>
      <c r="AB25" s="212">
        <v>1</v>
      </c>
      <c r="AC25" s="212">
        <v>1</v>
      </c>
      <c r="AD25" s="209" t="s">
        <v>877</v>
      </c>
      <c r="AE25" s="211">
        <v>6</v>
      </c>
      <c r="AF25" s="211">
        <v>22</v>
      </c>
      <c r="AG25" s="208">
        <v>1</v>
      </c>
      <c r="AH25" s="208">
        <v>0</v>
      </c>
      <c r="AI25" s="53">
        <v>0</v>
      </c>
      <c r="AJ25" s="208">
        <v>1</v>
      </c>
      <c r="AK25" s="209">
        <v>9.8942466493470995</v>
      </c>
      <c r="AL25" s="209">
        <v>2</v>
      </c>
      <c r="AM25" s="209">
        <v>3</v>
      </c>
      <c r="AN25" s="209">
        <v>1</v>
      </c>
      <c r="AO25" s="209" t="s">
        <v>1000</v>
      </c>
    </row>
    <row r="26" spans="1:41" s="53" customFormat="1">
      <c r="A26" s="203" t="s">
        <v>811</v>
      </c>
      <c r="B26" s="204" t="s">
        <v>17</v>
      </c>
      <c r="C26" s="205" t="s">
        <v>802</v>
      </c>
      <c r="D26" s="206">
        <f t="shared" si="0"/>
        <v>65</v>
      </c>
      <c r="E26" s="207">
        <v>44022</v>
      </c>
      <c r="F26" s="207">
        <v>44087</v>
      </c>
      <c r="H26" s="208">
        <v>1</v>
      </c>
      <c r="I26" s="53">
        <v>15</v>
      </c>
      <c r="J26" s="208">
        <v>0</v>
      </c>
      <c r="K26" s="208">
        <v>0</v>
      </c>
      <c r="L26" s="208">
        <v>0</v>
      </c>
      <c r="M26" s="208">
        <v>0</v>
      </c>
      <c r="N26" s="209">
        <v>7.4932356271729796</v>
      </c>
      <c r="O26" s="53">
        <v>0</v>
      </c>
      <c r="P26" s="53">
        <v>1</v>
      </c>
      <c r="Q26" s="53">
        <v>0</v>
      </c>
      <c r="R26" s="209" t="s">
        <v>937</v>
      </c>
      <c r="S26" s="208">
        <v>4</v>
      </c>
      <c r="T26" s="208">
        <v>2</v>
      </c>
      <c r="U26" s="211">
        <v>2</v>
      </c>
      <c r="V26" s="211">
        <v>0</v>
      </c>
      <c r="W26" s="211">
        <v>0</v>
      </c>
      <c r="X26" s="211">
        <v>0</v>
      </c>
      <c r="Y26" s="211">
        <v>0</v>
      </c>
      <c r="Z26" s="53">
        <v>16.312286998321198</v>
      </c>
      <c r="AA26" s="206">
        <v>0</v>
      </c>
      <c r="AB26" s="212">
        <v>1</v>
      </c>
      <c r="AC26" s="212">
        <v>0</v>
      </c>
      <c r="AD26" s="209" t="s">
        <v>878</v>
      </c>
      <c r="AE26" s="211">
        <v>0.5</v>
      </c>
      <c r="AF26" s="211">
        <v>4</v>
      </c>
      <c r="AG26" s="208">
        <v>0</v>
      </c>
      <c r="AH26" s="208">
        <v>0</v>
      </c>
      <c r="AI26" s="53">
        <v>0</v>
      </c>
      <c r="AJ26" s="208">
        <v>0</v>
      </c>
      <c r="AK26" s="209">
        <v>16.320670527875802</v>
      </c>
      <c r="AL26" s="209">
        <v>2</v>
      </c>
      <c r="AM26" s="209">
        <v>1</v>
      </c>
      <c r="AN26" s="209">
        <v>0</v>
      </c>
      <c r="AO26" s="209" t="s">
        <v>1001</v>
      </c>
    </row>
    <row r="27" spans="1:41" s="95" customFormat="1">
      <c r="A27" s="197" t="s">
        <v>812</v>
      </c>
      <c r="B27" s="198" t="s">
        <v>41</v>
      </c>
      <c r="C27" s="190" t="s">
        <v>77</v>
      </c>
      <c r="D27" s="191">
        <f>F27-E27</f>
        <v>61</v>
      </c>
      <c r="E27" s="192">
        <v>44015</v>
      </c>
      <c r="F27" s="192">
        <v>44076</v>
      </c>
      <c r="H27" s="94">
        <v>0</v>
      </c>
      <c r="I27" s="94">
        <v>3</v>
      </c>
      <c r="J27" s="94">
        <v>0</v>
      </c>
      <c r="K27" s="94">
        <v>0</v>
      </c>
      <c r="L27" s="94">
        <v>0</v>
      </c>
      <c r="M27" s="94">
        <v>0</v>
      </c>
      <c r="N27" s="193">
        <v>7.5124593928147902</v>
      </c>
      <c r="O27" s="95">
        <v>1</v>
      </c>
      <c r="P27" s="95">
        <v>1</v>
      </c>
      <c r="Q27" s="95">
        <v>0</v>
      </c>
      <c r="R27" s="193" t="s">
        <v>938</v>
      </c>
      <c r="S27" s="94">
        <f>(3865-295)/30</f>
        <v>119</v>
      </c>
      <c r="T27" s="94">
        <v>22</v>
      </c>
      <c r="U27" s="195">
        <v>2</v>
      </c>
      <c r="V27" s="194">
        <v>0</v>
      </c>
      <c r="W27" s="194">
        <v>0</v>
      </c>
      <c r="X27" s="194">
        <v>0</v>
      </c>
      <c r="Y27" s="194">
        <v>0</v>
      </c>
      <c r="Z27" s="95">
        <v>15.990087702669999</v>
      </c>
      <c r="AA27" s="191">
        <v>0</v>
      </c>
      <c r="AB27" s="191">
        <v>1</v>
      </c>
      <c r="AC27" s="191">
        <v>0</v>
      </c>
      <c r="AD27" s="193" t="s">
        <v>879</v>
      </c>
      <c r="AE27" s="194">
        <v>12</v>
      </c>
      <c r="AF27" s="194">
        <v>14</v>
      </c>
      <c r="AG27" s="94">
        <v>1</v>
      </c>
      <c r="AH27" s="94">
        <v>1</v>
      </c>
      <c r="AI27" s="95">
        <v>0</v>
      </c>
      <c r="AJ27" s="94">
        <v>0</v>
      </c>
      <c r="AK27" s="193">
        <v>7.9978137622828998</v>
      </c>
      <c r="AL27" s="193">
        <v>3</v>
      </c>
      <c r="AM27" s="193">
        <v>2</v>
      </c>
      <c r="AN27" s="193">
        <v>1</v>
      </c>
      <c r="AO27" s="193" t="s">
        <v>1002</v>
      </c>
    </row>
    <row r="28" spans="1:41" s="53" customFormat="1">
      <c r="A28" s="203" t="s">
        <v>813</v>
      </c>
      <c r="B28" s="204" t="s">
        <v>17</v>
      </c>
      <c r="C28" s="205" t="s">
        <v>802</v>
      </c>
      <c r="D28" s="212">
        <f t="shared" ref="D28:D43" si="1">F28-E28</f>
        <v>55</v>
      </c>
      <c r="E28" s="213">
        <v>43731</v>
      </c>
      <c r="F28" s="213">
        <v>43786</v>
      </c>
      <c r="H28" s="208">
        <v>1</v>
      </c>
      <c r="I28" s="53">
        <v>59</v>
      </c>
      <c r="J28" s="53">
        <v>2</v>
      </c>
      <c r="K28" s="53">
        <v>2</v>
      </c>
      <c r="L28" s="53">
        <v>0</v>
      </c>
      <c r="M28" s="53">
        <v>1</v>
      </c>
      <c r="N28" s="209">
        <v>11.069921296253399</v>
      </c>
      <c r="O28" s="53">
        <v>3</v>
      </c>
      <c r="P28" s="53">
        <v>3</v>
      </c>
      <c r="Q28" s="53">
        <v>2</v>
      </c>
      <c r="R28" s="209" t="s">
        <v>939</v>
      </c>
      <c r="S28" s="53">
        <v>207</v>
      </c>
      <c r="T28" s="53">
        <v>25</v>
      </c>
      <c r="U28" s="53">
        <v>187</v>
      </c>
      <c r="V28" s="208">
        <v>4</v>
      </c>
      <c r="W28" s="208">
        <v>4</v>
      </c>
      <c r="X28" s="208">
        <v>0</v>
      </c>
      <c r="Y28" s="208">
        <v>3</v>
      </c>
      <c r="Z28" s="53">
        <v>4.7268927656109403</v>
      </c>
      <c r="AA28" s="206">
        <v>3</v>
      </c>
      <c r="AB28" s="212">
        <v>3</v>
      </c>
      <c r="AC28" s="212">
        <v>2</v>
      </c>
      <c r="AD28" s="209" t="s">
        <v>880</v>
      </c>
      <c r="AE28" s="53">
        <f>(7930-5770)/30</f>
        <v>72</v>
      </c>
      <c r="AF28" s="53">
        <v>437</v>
      </c>
      <c r="AG28" s="53">
        <v>13</v>
      </c>
      <c r="AH28" s="53">
        <v>12</v>
      </c>
      <c r="AI28" s="53">
        <v>2</v>
      </c>
      <c r="AJ28" s="53">
        <v>5</v>
      </c>
      <c r="AK28" s="209">
        <v>4.4408243302918802</v>
      </c>
      <c r="AL28" s="53">
        <v>0</v>
      </c>
      <c r="AM28" s="53">
        <v>2</v>
      </c>
      <c r="AN28" s="53">
        <v>0</v>
      </c>
      <c r="AO28" s="209" t="s">
        <v>1003</v>
      </c>
    </row>
    <row r="29" spans="1:41" s="53" customFormat="1">
      <c r="A29" s="203" t="s">
        <v>1035</v>
      </c>
      <c r="B29" s="204" t="s">
        <v>41</v>
      </c>
      <c r="C29" s="205" t="s">
        <v>802</v>
      </c>
      <c r="D29" s="212">
        <f t="shared" si="1"/>
        <v>67</v>
      </c>
      <c r="E29" s="213">
        <v>43738</v>
      </c>
      <c r="F29" s="213">
        <v>43805</v>
      </c>
      <c r="H29" s="208">
        <v>1</v>
      </c>
      <c r="I29" s="53">
        <v>2</v>
      </c>
      <c r="J29" s="53">
        <v>0</v>
      </c>
      <c r="K29" s="53">
        <v>0</v>
      </c>
      <c r="L29" s="53">
        <v>0</v>
      </c>
      <c r="M29" s="53">
        <v>0</v>
      </c>
      <c r="N29" s="209">
        <v>16.500633734978301</v>
      </c>
      <c r="O29" s="53">
        <v>1</v>
      </c>
      <c r="P29" s="53">
        <v>1</v>
      </c>
      <c r="Q29" s="53">
        <v>0</v>
      </c>
      <c r="R29" s="209" t="s">
        <v>940</v>
      </c>
      <c r="S29" s="53">
        <f>600-2</f>
        <v>598</v>
      </c>
      <c r="T29" s="53">
        <v>66</v>
      </c>
      <c r="U29" s="53">
        <v>180</v>
      </c>
      <c r="V29" s="208">
        <v>3</v>
      </c>
      <c r="W29" s="208">
        <v>3</v>
      </c>
      <c r="X29" s="208">
        <v>1</v>
      </c>
      <c r="Y29" s="208">
        <v>2</v>
      </c>
      <c r="Z29" s="53">
        <v>1.76636612797285</v>
      </c>
      <c r="AA29" s="206">
        <v>3</v>
      </c>
      <c r="AB29" s="212">
        <v>3</v>
      </c>
      <c r="AC29" s="212">
        <v>1</v>
      </c>
      <c r="AD29" s="209" t="s">
        <v>881</v>
      </c>
      <c r="AE29" s="53">
        <v>1.5</v>
      </c>
      <c r="AF29" s="53">
        <v>495</v>
      </c>
      <c r="AG29" s="53">
        <v>9</v>
      </c>
      <c r="AH29" s="53">
        <v>10</v>
      </c>
      <c r="AI29" s="53">
        <v>2</v>
      </c>
      <c r="AJ29" s="53">
        <v>7</v>
      </c>
      <c r="AK29" s="209">
        <v>9.2922337077055008</v>
      </c>
      <c r="AL29" s="53">
        <v>3</v>
      </c>
      <c r="AM29" s="53">
        <v>3</v>
      </c>
      <c r="AN29" s="53">
        <v>1</v>
      </c>
      <c r="AO29" s="209" t="s">
        <v>1004</v>
      </c>
    </row>
    <row r="30" spans="1:41" s="53" customFormat="1">
      <c r="A30" s="203" t="s">
        <v>814</v>
      </c>
      <c r="B30" s="204" t="s">
        <v>41</v>
      </c>
      <c r="C30" s="205" t="s">
        <v>802</v>
      </c>
      <c r="D30" s="212">
        <f t="shared" si="1"/>
        <v>79</v>
      </c>
      <c r="E30" s="213">
        <v>43757</v>
      </c>
      <c r="F30" s="213">
        <v>43836</v>
      </c>
      <c r="H30" s="208">
        <v>1</v>
      </c>
      <c r="I30" s="53">
        <v>3</v>
      </c>
      <c r="J30" s="53">
        <v>0</v>
      </c>
      <c r="K30" s="53">
        <v>0</v>
      </c>
      <c r="L30" s="53">
        <v>0</v>
      </c>
      <c r="M30" s="53">
        <v>0</v>
      </c>
      <c r="N30" s="209">
        <v>7.5886810183337801</v>
      </c>
      <c r="O30" s="53">
        <v>1</v>
      </c>
      <c r="P30" s="53">
        <v>1</v>
      </c>
      <c r="Q30" s="53">
        <v>1</v>
      </c>
      <c r="R30" s="209" t="s">
        <v>941</v>
      </c>
      <c r="S30" s="53">
        <v>217</v>
      </c>
      <c r="T30" s="53">
        <v>47</v>
      </c>
      <c r="U30" s="53">
        <f>4*60+42</f>
        <v>282</v>
      </c>
      <c r="V30" s="208">
        <v>3</v>
      </c>
      <c r="W30" s="208">
        <v>3</v>
      </c>
      <c r="X30" s="208">
        <v>0</v>
      </c>
      <c r="Y30" s="208">
        <v>3</v>
      </c>
      <c r="Z30" s="53">
        <v>1.9413810640281199</v>
      </c>
      <c r="AA30" s="206">
        <v>3</v>
      </c>
      <c r="AB30" s="212">
        <v>3</v>
      </c>
      <c r="AC30" s="212">
        <v>1</v>
      </c>
      <c r="AD30" s="209" t="s">
        <v>882</v>
      </c>
      <c r="AE30" s="53">
        <v>23</v>
      </c>
      <c r="AF30" s="53">
        <v>280</v>
      </c>
      <c r="AG30" s="53">
        <v>3</v>
      </c>
      <c r="AH30" s="53">
        <v>4</v>
      </c>
      <c r="AI30" s="53">
        <v>0</v>
      </c>
      <c r="AJ30" s="53">
        <v>6</v>
      </c>
      <c r="AK30" s="209">
        <v>5.4868309157384996</v>
      </c>
      <c r="AL30" s="53">
        <v>3</v>
      </c>
      <c r="AM30" s="53">
        <v>3</v>
      </c>
      <c r="AN30" s="53">
        <v>1</v>
      </c>
      <c r="AO30" s="209" t="s">
        <v>1005</v>
      </c>
    </row>
    <row r="31" spans="1:41" s="53" customFormat="1">
      <c r="A31" s="203" t="s">
        <v>815</v>
      </c>
      <c r="B31" s="204" t="s">
        <v>17</v>
      </c>
      <c r="C31" s="205" t="s">
        <v>802</v>
      </c>
      <c r="D31" s="212">
        <f t="shared" si="1"/>
        <v>80</v>
      </c>
      <c r="E31" s="213">
        <v>43802</v>
      </c>
      <c r="F31" s="213">
        <v>43882</v>
      </c>
      <c r="H31" s="208">
        <v>1</v>
      </c>
      <c r="I31" s="53">
        <v>4</v>
      </c>
      <c r="J31" s="53">
        <v>0</v>
      </c>
      <c r="K31" s="53">
        <v>0</v>
      </c>
      <c r="L31" s="53">
        <v>0</v>
      </c>
      <c r="M31" s="53">
        <v>0</v>
      </c>
      <c r="N31" s="209">
        <v>6.8769449344710196</v>
      </c>
      <c r="O31" s="53">
        <v>0</v>
      </c>
      <c r="P31" s="53">
        <v>1</v>
      </c>
      <c r="Q31" s="53">
        <v>0</v>
      </c>
      <c r="R31" s="209" t="s">
        <v>942</v>
      </c>
      <c r="S31" s="53">
        <v>596</v>
      </c>
      <c r="T31" s="53">
        <v>122</v>
      </c>
      <c r="U31" s="53">
        <v>600</v>
      </c>
      <c r="V31" s="208">
        <v>8</v>
      </c>
      <c r="W31" s="208">
        <v>7</v>
      </c>
      <c r="X31" s="208">
        <v>2</v>
      </c>
      <c r="Y31" s="208">
        <v>2</v>
      </c>
      <c r="Z31" s="53">
        <v>0</v>
      </c>
      <c r="AA31" s="206">
        <v>5</v>
      </c>
      <c r="AB31" s="206">
        <v>5</v>
      </c>
      <c r="AC31" s="206">
        <v>5</v>
      </c>
      <c r="AD31" s="209" t="s">
        <v>26</v>
      </c>
      <c r="AE31" s="210" t="s">
        <v>25</v>
      </c>
      <c r="AF31" s="53">
        <v>71</v>
      </c>
      <c r="AG31" s="53">
        <v>2</v>
      </c>
      <c r="AH31" s="53">
        <v>3</v>
      </c>
      <c r="AI31" s="53">
        <v>0</v>
      </c>
      <c r="AJ31" s="53">
        <v>0</v>
      </c>
      <c r="AK31" s="209">
        <v>2.0754312343519201</v>
      </c>
      <c r="AL31" s="53">
        <v>0</v>
      </c>
      <c r="AM31" s="53">
        <v>1</v>
      </c>
      <c r="AN31" s="53">
        <v>0</v>
      </c>
      <c r="AO31" s="209" t="s">
        <v>1006</v>
      </c>
    </row>
    <row r="32" spans="1:41" s="53" customFormat="1">
      <c r="A32" s="203" t="s">
        <v>816</v>
      </c>
      <c r="B32" s="204" t="s">
        <v>17</v>
      </c>
      <c r="C32" s="205" t="s">
        <v>802</v>
      </c>
      <c r="D32" s="212">
        <f t="shared" si="1"/>
        <v>50</v>
      </c>
      <c r="E32" s="213">
        <v>43970</v>
      </c>
      <c r="F32" s="213">
        <v>44020</v>
      </c>
      <c r="H32" s="208">
        <v>1</v>
      </c>
      <c r="I32" s="53">
        <v>45</v>
      </c>
      <c r="J32" s="215">
        <v>1</v>
      </c>
      <c r="K32" s="215">
        <v>0</v>
      </c>
      <c r="L32" s="215">
        <v>0</v>
      </c>
      <c r="M32" s="215">
        <v>4</v>
      </c>
      <c r="N32" s="209">
        <v>0.91395155470283296</v>
      </c>
      <c r="O32" s="53">
        <v>1</v>
      </c>
      <c r="P32" s="53">
        <v>1</v>
      </c>
      <c r="Q32" s="53">
        <v>2</v>
      </c>
      <c r="R32" s="209" t="s">
        <v>943</v>
      </c>
      <c r="S32" s="53">
        <v>268</v>
      </c>
      <c r="T32" s="53">
        <v>36</v>
      </c>
      <c r="U32" s="53">
        <v>69</v>
      </c>
      <c r="V32" s="208">
        <v>2</v>
      </c>
      <c r="W32" s="208">
        <v>1</v>
      </c>
      <c r="X32" s="208">
        <v>0</v>
      </c>
      <c r="Y32" s="208">
        <v>2</v>
      </c>
      <c r="Z32" s="53">
        <v>6.6378334690293697</v>
      </c>
      <c r="AA32" s="206">
        <v>3</v>
      </c>
      <c r="AB32" s="212">
        <v>3</v>
      </c>
      <c r="AC32" s="212">
        <v>2</v>
      </c>
      <c r="AD32" s="209" t="s">
        <v>883</v>
      </c>
      <c r="AE32" s="53">
        <v>2</v>
      </c>
      <c r="AF32" s="53">
        <v>25</v>
      </c>
      <c r="AG32" s="53">
        <v>1</v>
      </c>
      <c r="AH32" s="53">
        <v>1</v>
      </c>
      <c r="AI32" s="53">
        <v>0</v>
      </c>
      <c r="AJ32" s="53">
        <v>0</v>
      </c>
      <c r="AK32" s="209">
        <v>7.7397405324716697</v>
      </c>
      <c r="AL32" s="53">
        <v>1</v>
      </c>
      <c r="AM32" s="53">
        <v>1</v>
      </c>
      <c r="AN32" s="53">
        <v>1</v>
      </c>
      <c r="AO32" s="209" t="s">
        <v>1007</v>
      </c>
    </row>
    <row r="33" spans="1:41" s="95" customFormat="1">
      <c r="A33" s="217" t="s">
        <v>817</v>
      </c>
      <c r="B33" s="218" t="s">
        <v>41</v>
      </c>
      <c r="C33" s="190" t="s">
        <v>77</v>
      </c>
      <c r="D33" s="219">
        <f t="shared" si="1"/>
        <v>61</v>
      </c>
      <c r="E33" s="202">
        <v>43700</v>
      </c>
      <c r="F33" s="202">
        <v>43761</v>
      </c>
      <c r="H33" s="94">
        <v>0</v>
      </c>
      <c r="I33" s="95">
        <v>65</v>
      </c>
      <c r="J33" s="95">
        <v>0</v>
      </c>
      <c r="K33" s="95">
        <v>0</v>
      </c>
      <c r="L33" s="95">
        <v>0</v>
      </c>
      <c r="M33" s="95">
        <v>2</v>
      </c>
      <c r="N33" s="193">
        <v>7.9408836492772599</v>
      </c>
      <c r="O33" s="95">
        <v>3</v>
      </c>
      <c r="P33" s="95">
        <v>3</v>
      </c>
      <c r="Q33" s="95">
        <v>2</v>
      </c>
      <c r="R33" s="193" t="s">
        <v>944</v>
      </c>
      <c r="S33" s="95">
        <v>412</v>
      </c>
      <c r="T33" s="95">
        <f>105+38</f>
        <v>143</v>
      </c>
      <c r="U33" s="94">
        <f>7*60+20</f>
        <v>440</v>
      </c>
      <c r="V33" s="94">
        <v>8</v>
      </c>
      <c r="W33" s="94">
        <v>10</v>
      </c>
      <c r="X33" s="94">
        <v>0</v>
      </c>
      <c r="Y33" s="94">
        <v>7</v>
      </c>
      <c r="Z33" s="95">
        <v>4.2651043169469203</v>
      </c>
      <c r="AA33" s="191">
        <v>3</v>
      </c>
      <c r="AB33" s="196">
        <v>3</v>
      </c>
      <c r="AC33" s="196">
        <v>2</v>
      </c>
      <c r="AD33" s="193" t="s">
        <v>884</v>
      </c>
      <c r="AE33" s="95">
        <f>600-440</f>
        <v>160</v>
      </c>
      <c r="AF33" s="194" t="s">
        <v>25</v>
      </c>
      <c r="AG33" s="95" t="s">
        <v>25</v>
      </c>
      <c r="AH33" s="95" t="s">
        <v>25</v>
      </c>
      <c r="AI33" s="95" t="s">
        <v>25</v>
      </c>
      <c r="AJ33" s="95" t="s">
        <v>25</v>
      </c>
      <c r="AK33" s="193" t="s">
        <v>25</v>
      </c>
      <c r="AL33" s="95" t="s">
        <v>25</v>
      </c>
      <c r="AM33" s="95" t="s">
        <v>25</v>
      </c>
      <c r="AN33" s="95" t="s">
        <v>25</v>
      </c>
      <c r="AO33" s="193" t="s">
        <v>25</v>
      </c>
    </row>
    <row r="34" spans="1:41" s="95" customFormat="1">
      <c r="A34" s="217" t="s">
        <v>818</v>
      </c>
      <c r="B34" s="218" t="s">
        <v>17</v>
      </c>
      <c r="C34" s="190" t="s">
        <v>77</v>
      </c>
      <c r="D34" s="219">
        <f t="shared" si="1"/>
        <v>55</v>
      </c>
      <c r="E34" s="202">
        <v>43731</v>
      </c>
      <c r="F34" s="202">
        <v>43786</v>
      </c>
      <c r="H34" s="94">
        <v>0</v>
      </c>
      <c r="I34" s="95">
        <v>136</v>
      </c>
      <c r="J34" s="95">
        <v>1</v>
      </c>
      <c r="K34" s="95">
        <v>0</v>
      </c>
      <c r="L34" s="95">
        <v>0</v>
      </c>
      <c r="M34" s="95">
        <v>1</v>
      </c>
      <c r="N34" s="193">
        <v>7.4168440592726004</v>
      </c>
      <c r="O34" s="95">
        <v>2</v>
      </c>
      <c r="P34" s="95">
        <v>2</v>
      </c>
      <c r="Q34" s="95">
        <v>2</v>
      </c>
      <c r="R34" s="193" t="s">
        <v>945</v>
      </c>
      <c r="S34" s="95">
        <v>226</v>
      </c>
      <c r="T34" s="95">
        <v>82</v>
      </c>
      <c r="U34" s="95">
        <v>22</v>
      </c>
      <c r="V34" s="94">
        <v>0</v>
      </c>
      <c r="W34" s="94">
        <v>1</v>
      </c>
      <c r="X34" s="94">
        <v>0</v>
      </c>
      <c r="Y34" s="94">
        <v>2</v>
      </c>
      <c r="Z34" s="95">
        <v>7.2431520976501496</v>
      </c>
      <c r="AA34" s="191">
        <v>4</v>
      </c>
      <c r="AB34" s="196">
        <v>3</v>
      </c>
      <c r="AC34" s="196">
        <v>3</v>
      </c>
      <c r="AD34" s="193" t="s">
        <v>885</v>
      </c>
      <c r="AE34" s="95">
        <f>60+53-26</f>
        <v>87</v>
      </c>
      <c r="AF34" s="95">
        <f>3*60+43</f>
        <v>223</v>
      </c>
      <c r="AG34" s="95">
        <v>6</v>
      </c>
      <c r="AH34" s="95">
        <v>4</v>
      </c>
      <c r="AI34" s="95">
        <v>2</v>
      </c>
      <c r="AJ34" s="95">
        <v>3</v>
      </c>
      <c r="AK34" s="193">
        <v>2.6974041250970102</v>
      </c>
      <c r="AL34" s="95">
        <v>3</v>
      </c>
      <c r="AM34" s="95">
        <v>3</v>
      </c>
      <c r="AN34" s="95">
        <v>1</v>
      </c>
      <c r="AO34" s="193" t="s">
        <v>1008</v>
      </c>
    </row>
    <row r="35" spans="1:41" s="95" customFormat="1">
      <c r="A35" s="217" t="s">
        <v>819</v>
      </c>
      <c r="B35" s="218" t="s">
        <v>41</v>
      </c>
      <c r="C35" s="190" t="s">
        <v>77</v>
      </c>
      <c r="D35" s="219">
        <f t="shared" si="1"/>
        <v>63</v>
      </c>
      <c r="E35" s="202">
        <v>43756</v>
      </c>
      <c r="F35" s="202">
        <v>43819</v>
      </c>
      <c r="H35" s="94">
        <v>0</v>
      </c>
      <c r="I35" s="95">
        <v>10</v>
      </c>
      <c r="J35" s="95">
        <v>1</v>
      </c>
      <c r="K35" s="95">
        <v>0</v>
      </c>
      <c r="L35" s="95">
        <v>0</v>
      </c>
      <c r="M35" s="95">
        <v>0</v>
      </c>
      <c r="N35" s="193">
        <v>13.751300470670399</v>
      </c>
      <c r="O35" s="95">
        <v>2</v>
      </c>
      <c r="P35" s="95">
        <v>3</v>
      </c>
      <c r="Q35" s="95">
        <v>2</v>
      </c>
      <c r="R35" s="193" t="s">
        <v>946</v>
      </c>
      <c r="S35" s="95">
        <v>382</v>
      </c>
      <c r="T35" s="95">
        <f>25+19</f>
        <v>44</v>
      </c>
      <c r="U35" s="95">
        <v>9</v>
      </c>
      <c r="V35" s="94">
        <v>1</v>
      </c>
      <c r="W35" s="94">
        <v>1</v>
      </c>
      <c r="X35" s="94">
        <v>0</v>
      </c>
      <c r="Y35" s="94">
        <v>0</v>
      </c>
      <c r="Z35" s="95">
        <v>14.923788953738301</v>
      </c>
      <c r="AA35" s="191">
        <v>3</v>
      </c>
      <c r="AB35" s="196">
        <v>2</v>
      </c>
      <c r="AC35" s="196">
        <v>1</v>
      </c>
      <c r="AD35" s="193" t="s">
        <v>886</v>
      </c>
      <c r="AE35" s="95">
        <v>51</v>
      </c>
      <c r="AF35" s="95">
        <f>180+18</f>
        <v>198</v>
      </c>
      <c r="AG35" s="95">
        <v>4</v>
      </c>
      <c r="AH35" s="95">
        <v>3</v>
      </c>
      <c r="AI35" s="95">
        <v>1</v>
      </c>
      <c r="AJ35" s="95">
        <v>3</v>
      </c>
      <c r="AK35" s="193">
        <v>1.53946923156816</v>
      </c>
      <c r="AL35" s="95">
        <v>3</v>
      </c>
      <c r="AM35" s="95">
        <v>3</v>
      </c>
      <c r="AN35" s="95">
        <v>1</v>
      </c>
      <c r="AO35" s="193" t="s">
        <v>1009</v>
      </c>
    </row>
    <row r="36" spans="1:41" s="95" customFormat="1">
      <c r="A36" s="217" t="s">
        <v>820</v>
      </c>
      <c r="B36" s="218" t="s">
        <v>17</v>
      </c>
      <c r="C36" s="190" t="s">
        <v>77</v>
      </c>
      <c r="D36" s="219">
        <f t="shared" si="1"/>
        <v>54</v>
      </c>
      <c r="E36" s="202">
        <v>43992</v>
      </c>
      <c r="F36" s="202">
        <v>44046</v>
      </c>
      <c r="H36" s="94">
        <v>0</v>
      </c>
      <c r="I36" s="95">
        <v>22</v>
      </c>
      <c r="J36" s="95">
        <v>2</v>
      </c>
      <c r="K36" s="95">
        <v>1</v>
      </c>
      <c r="L36" s="95">
        <v>0</v>
      </c>
      <c r="M36" s="95">
        <v>1</v>
      </c>
      <c r="N36" s="193">
        <v>2.6920374054051099</v>
      </c>
      <c r="O36" s="95">
        <v>0</v>
      </c>
      <c r="P36" s="95">
        <v>1</v>
      </c>
      <c r="Q36" s="95">
        <v>0</v>
      </c>
      <c r="R36" s="193" t="s">
        <v>947</v>
      </c>
      <c r="S36" s="95">
        <v>532</v>
      </c>
      <c r="T36" s="95">
        <v>49</v>
      </c>
      <c r="U36" s="95">
        <f>5*60+50</f>
        <v>350</v>
      </c>
      <c r="V36" s="94">
        <v>6</v>
      </c>
      <c r="W36" s="94">
        <v>8</v>
      </c>
      <c r="X36" s="94">
        <v>0</v>
      </c>
      <c r="Y36" s="94">
        <v>2</v>
      </c>
      <c r="Z36" s="95">
        <v>1.0302952075296401</v>
      </c>
      <c r="AA36" s="191">
        <v>3</v>
      </c>
      <c r="AB36" s="196">
        <v>3</v>
      </c>
      <c r="AC36" s="196">
        <v>1</v>
      </c>
      <c r="AD36" s="193" t="s">
        <v>887</v>
      </c>
      <c r="AE36" s="95">
        <v>4</v>
      </c>
      <c r="AF36" s="95">
        <v>143</v>
      </c>
      <c r="AG36" s="95">
        <v>4</v>
      </c>
      <c r="AH36" s="95">
        <v>4</v>
      </c>
      <c r="AI36" s="95">
        <v>0</v>
      </c>
      <c r="AJ36" s="95">
        <v>2</v>
      </c>
      <c r="AK36" s="193">
        <v>1.03485148181069</v>
      </c>
      <c r="AL36" s="95">
        <v>2</v>
      </c>
      <c r="AM36" s="95">
        <v>3</v>
      </c>
      <c r="AN36" s="95">
        <v>1</v>
      </c>
      <c r="AO36" s="193" t="s">
        <v>1010</v>
      </c>
    </row>
    <row r="37" spans="1:41" s="95" customFormat="1">
      <c r="A37" s="220" t="s">
        <v>821</v>
      </c>
      <c r="B37" s="218" t="s">
        <v>41</v>
      </c>
      <c r="C37" s="190" t="s">
        <v>77</v>
      </c>
      <c r="D37" s="196">
        <f t="shared" si="1"/>
        <v>70</v>
      </c>
      <c r="E37" s="201">
        <v>44852</v>
      </c>
      <c r="F37" s="201">
        <v>44922</v>
      </c>
      <c r="H37" s="94">
        <v>0</v>
      </c>
      <c r="I37" s="95">
        <v>70</v>
      </c>
      <c r="J37" s="95">
        <v>1</v>
      </c>
      <c r="K37" s="95">
        <v>0</v>
      </c>
      <c r="L37" s="95">
        <v>1</v>
      </c>
      <c r="M37" s="95">
        <v>2</v>
      </c>
      <c r="N37" s="193">
        <v>7.52285068843719</v>
      </c>
      <c r="O37" s="95">
        <v>2</v>
      </c>
      <c r="P37" s="95">
        <v>3</v>
      </c>
      <c r="Q37" s="95">
        <v>1</v>
      </c>
      <c r="R37" s="193" t="s">
        <v>948</v>
      </c>
      <c r="S37" s="95">
        <f>344-78+38</f>
        <v>304</v>
      </c>
      <c r="T37" s="95">
        <v>35.5</v>
      </c>
      <c r="U37" s="95">
        <f>7*60-3</f>
        <v>417</v>
      </c>
      <c r="V37" s="94">
        <v>6</v>
      </c>
      <c r="W37" s="94">
        <v>6</v>
      </c>
      <c r="X37" s="94">
        <v>0</v>
      </c>
      <c r="Y37" s="94">
        <v>4</v>
      </c>
      <c r="Z37" s="95">
        <v>14.097491274719101</v>
      </c>
      <c r="AA37" s="191">
        <v>0</v>
      </c>
      <c r="AB37" s="191">
        <v>1</v>
      </c>
      <c r="AC37" s="196">
        <v>1</v>
      </c>
      <c r="AD37" s="193" t="s">
        <v>888</v>
      </c>
      <c r="AE37" s="95">
        <v>2</v>
      </c>
      <c r="AF37" s="95">
        <f>5*60+43</f>
        <v>343</v>
      </c>
      <c r="AG37" s="95">
        <v>4</v>
      </c>
      <c r="AH37" s="95">
        <v>8</v>
      </c>
      <c r="AI37" s="95">
        <v>0</v>
      </c>
      <c r="AJ37" s="95">
        <v>4</v>
      </c>
      <c r="AK37" s="193">
        <v>1.23697584543859</v>
      </c>
      <c r="AL37" s="95">
        <v>3</v>
      </c>
      <c r="AM37" s="95">
        <v>2</v>
      </c>
      <c r="AN37" s="95">
        <v>1</v>
      </c>
      <c r="AO37" s="193" t="s">
        <v>1011</v>
      </c>
    </row>
    <row r="38" spans="1:41" s="95" customFormat="1">
      <c r="A38" s="220" t="s">
        <v>822</v>
      </c>
      <c r="B38" s="218" t="s">
        <v>41</v>
      </c>
      <c r="C38" s="190" t="s">
        <v>77</v>
      </c>
      <c r="D38" s="196">
        <f t="shared" si="1"/>
        <v>70</v>
      </c>
      <c r="E38" s="201">
        <v>44852</v>
      </c>
      <c r="F38" s="201">
        <v>44922</v>
      </c>
      <c r="H38" s="94">
        <v>0</v>
      </c>
      <c r="I38" s="95">
        <v>4</v>
      </c>
      <c r="J38" s="95">
        <v>0</v>
      </c>
      <c r="K38" s="95">
        <v>0</v>
      </c>
      <c r="L38" s="95">
        <v>0</v>
      </c>
      <c r="M38" s="95">
        <v>0</v>
      </c>
      <c r="N38" s="193">
        <v>8.0678662739283595</v>
      </c>
      <c r="O38" s="95">
        <v>1</v>
      </c>
      <c r="P38" s="95">
        <v>3</v>
      </c>
      <c r="Q38" s="95">
        <v>1</v>
      </c>
      <c r="R38" s="193" t="s">
        <v>949</v>
      </c>
      <c r="S38" s="95">
        <f>7*60+30</f>
        <v>450</v>
      </c>
      <c r="T38" s="95">
        <v>90</v>
      </c>
      <c r="U38" s="95">
        <v>60</v>
      </c>
      <c r="V38" s="94">
        <v>2</v>
      </c>
      <c r="W38" s="94">
        <v>1</v>
      </c>
      <c r="X38" s="94">
        <v>0</v>
      </c>
      <c r="Y38" s="94">
        <v>1</v>
      </c>
      <c r="Z38" s="95">
        <v>7.1344357680665302</v>
      </c>
      <c r="AA38" s="191">
        <v>2</v>
      </c>
      <c r="AB38" s="191">
        <v>3</v>
      </c>
      <c r="AC38" s="196">
        <v>2</v>
      </c>
      <c r="AD38" s="193" t="s">
        <v>889</v>
      </c>
      <c r="AE38" s="95">
        <f>2*60+29-65</f>
        <v>84</v>
      </c>
      <c r="AF38" s="95">
        <f>135</f>
        <v>135</v>
      </c>
      <c r="AG38" s="95">
        <v>3</v>
      </c>
      <c r="AH38" s="95">
        <v>1</v>
      </c>
      <c r="AI38" s="95">
        <v>0</v>
      </c>
      <c r="AJ38" s="95">
        <v>1</v>
      </c>
      <c r="AK38" s="193">
        <v>2.0579920590640999</v>
      </c>
      <c r="AL38" s="95">
        <v>3</v>
      </c>
      <c r="AM38" s="95">
        <v>3</v>
      </c>
      <c r="AN38" s="95">
        <v>1</v>
      </c>
      <c r="AO38" s="193" t="s">
        <v>1012</v>
      </c>
    </row>
    <row r="39" spans="1:41" s="53" customFormat="1">
      <c r="A39" s="221" t="s">
        <v>823</v>
      </c>
      <c r="B39" s="53" t="s">
        <v>17</v>
      </c>
      <c r="C39" s="205" t="s">
        <v>802</v>
      </c>
      <c r="D39" s="212">
        <f t="shared" si="1"/>
        <v>87</v>
      </c>
      <c r="E39" s="213">
        <v>44720</v>
      </c>
      <c r="F39" s="213">
        <v>44807</v>
      </c>
      <c r="H39" s="208">
        <v>1</v>
      </c>
      <c r="I39" s="53">
        <v>68</v>
      </c>
      <c r="J39" s="53">
        <v>1</v>
      </c>
      <c r="K39" s="53">
        <v>0</v>
      </c>
      <c r="L39" s="53">
        <v>2</v>
      </c>
      <c r="M39" s="53">
        <v>1</v>
      </c>
      <c r="N39" s="209">
        <v>10.970992821401801</v>
      </c>
      <c r="O39" s="53">
        <v>0</v>
      </c>
      <c r="P39" s="53">
        <v>1</v>
      </c>
      <c r="Q39" s="53">
        <v>0</v>
      </c>
      <c r="R39" s="209" t="s">
        <v>950</v>
      </c>
      <c r="S39" s="53">
        <f>165-75</f>
        <v>90</v>
      </c>
      <c r="T39" s="53">
        <v>26</v>
      </c>
      <c r="U39" s="53">
        <v>2</v>
      </c>
      <c r="V39" s="208">
        <v>0</v>
      </c>
      <c r="W39" s="208">
        <v>0</v>
      </c>
      <c r="X39" s="208">
        <v>0</v>
      </c>
      <c r="Y39" s="208">
        <v>0</v>
      </c>
      <c r="Z39" s="53">
        <v>16.410442479024798</v>
      </c>
      <c r="AA39" s="206">
        <v>0</v>
      </c>
      <c r="AB39" s="206">
        <v>1</v>
      </c>
      <c r="AC39" s="212">
        <v>0</v>
      </c>
      <c r="AD39" s="209" t="s">
        <v>890</v>
      </c>
      <c r="AE39" s="53">
        <v>130</v>
      </c>
      <c r="AF39" s="53">
        <f>4*60+17</f>
        <v>257</v>
      </c>
      <c r="AG39" s="53">
        <v>4</v>
      </c>
      <c r="AH39" s="53">
        <v>4</v>
      </c>
      <c r="AI39" s="53">
        <v>1</v>
      </c>
      <c r="AJ39" s="53">
        <v>2</v>
      </c>
      <c r="AK39" s="209">
        <v>5.03182226209523</v>
      </c>
      <c r="AL39" s="53">
        <v>3</v>
      </c>
      <c r="AM39" s="53">
        <v>2</v>
      </c>
      <c r="AN39" s="53">
        <v>1</v>
      </c>
      <c r="AO39" s="209" t="s">
        <v>1013</v>
      </c>
    </row>
    <row r="40" spans="1:41" s="53" customFormat="1">
      <c r="A40" s="221" t="s">
        <v>824</v>
      </c>
      <c r="B40" s="53" t="s">
        <v>17</v>
      </c>
      <c r="C40" s="205" t="s">
        <v>802</v>
      </c>
      <c r="D40" s="212">
        <f t="shared" si="1"/>
        <v>87</v>
      </c>
      <c r="E40" s="213">
        <v>44720</v>
      </c>
      <c r="F40" s="213">
        <v>44807</v>
      </c>
      <c r="H40" s="208">
        <v>1</v>
      </c>
      <c r="I40" s="53">
        <v>3</v>
      </c>
      <c r="J40" s="53">
        <v>0</v>
      </c>
      <c r="K40" s="53">
        <v>0</v>
      </c>
      <c r="L40" s="53">
        <v>0</v>
      </c>
      <c r="M40" s="53">
        <v>0</v>
      </c>
      <c r="N40" s="209">
        <v>4.8144455567983204</v>
      </c>
      <c r="O40" s="53">
        <v>0</v>
      </c>
      <c r="P40" s="53">
        <v>1</v>
      </c>
      <c r="Q40" s="53">
        <v>0</v>
      </c>
      <c r="R40" s="209" t="s">
        <v>951</v>
      </c>
      <c r="S40" s="53">
        <v>597</v>
      </c>
      <c r="T40" s="53">
        <v>16.5</v>
      </c>
      <c r="U40" s="53">
        <v>132</v>
      </c>
      <c r="V40" s="53">
        <v>2</v>
      </c>
      <c r="W40" s="53">
        <v>2</v>
      </c>
      <c r="X40" s="53">
        <v>0</v>
      </c>
      <c r="Y40" s="53">
        <v>1</v>
      </c>
      <c r="Z40" s="53">
        <v>0.27677930192713102</v>
      </c>
      <c r="AA40" s="206">
        <v>4</v>
      </c>
      <c r="AB40" s="212">
        <v>3</v>
      </c>
      <c r="AC40" s="212">
        <v>3</v>
      </c>
      <c r="AD40" s="209" t="s">
        <v>891</v>
      </c>
      <c r="AE40" s="53">
        <v>70</v>
      </c>
      <c r="AF40" s="53">
        <v>600</v>
      </c>
      <c r="AG40" s="53">
        <v>4</v>
      </c>
      <c r="AH40" s="53">
        <v>4</v>
      </c>
      <c r="AI40" s="53">
        <v>1</v>
      </c>
      <c r="AJ40" s="53">
        <v>4</v>
      </c>
      <c r="AK40" s="209">
        <v>0</v>
      </c>
      <c r="AL40" s="53">
        <v>5</v>
      </c>
      <c r="AM40" s="53">
        <v>5</v>
      </c>
      <c r="AN40" s="53">
        <v>5</v>
      </c>
      <c r="AO40" s="209" t="s">
        <v>26</v>
      </c>
    </row>
    <row r="41" spans="1:41" s="53" customFormat="1">
      <c r="A41" s="221" t="s">
        <v>825</v>
      </c>
      <c r="B41" s="53" t="s">
        <v>41</v>
      </c>
      <c r="C41" s="205" t="s">
        <v>802</v>
      </c>
      <c r="D41" s="212">
        <f t="shared" si="1"/>
        <v>81</v>
      </c>
      <c r="E41" s="213">
        <v>44726</v>
      </c>
      <c r="F41" s="213">
        <v>44807</v>
      </c>
      <c r="H41" s="208">
        <v>1</v>
      </c>
      <c r="I41" s="53">
        <f>37-23</f>
        <v>14</v>
      </c>
      <c r="J41" s="53">
        <v>0</v>
      </c>
      <c r="K41" s="53">
        <v>0</v>
      </c>
      <c r="L41" s="53">
        <v>0</v>
      </c>
      <c r="M41" s="53">
        <v>0</v>
      </c>
      <c r="N41" s="209">
        <v>15.451104186129101</v>
      </c>
      <c r="O41" s="53">
        <v>0</v>
      </c>
      <c r="P41" s="53">
        <v>1</v>
      </c>
      <c r="Q41" s="53">
        <v>1</v>
      </c>
      <c r="R41" s="209" t="s">
        <v>952</v>
      </c>
      <c r="S41" s="53">
        <v>116</v>
      </c>
      <c r="T41" s="53">
        <v>25</v>
      </c>
      <c r="U41" s="53">
        <f>6*60+40</f>
        <v>400</v>
      </c>
      <c r="V41" s="208">
        <v>21</v>
      </c>
      <c r="W41" s="215">
        <v>19</v>
      </c>
      <c r="X41" s="215">
        <v>7</v>
      </c>
      <c r="Y41" s="215">
        <v>7</v>
      </c>
      <c r="Z41" s="53">
        <v>4.3477064369997702</v>
      </c>
      <c r="AA41" s="222">
        <v>2</v>
      </c>
      <c r="AB41" s="223">
        <v>3</v>
      </c>
      <c r="AC41" s="223">
        <v>1</v>
      </c>
      <c r="AD41" s="209" t="s">
        <v>892</v>
      </c>
      <c r="AE41" s="53">
        <v>7</v>
      </c>
      <c r="AF41" s="53">
        <v>243</v>
      </c>
      <c r="AG41" s="53">
        <v>9</v>
      </c>
      <c r="AH41" s="53">
        <v>10</v>
      </c>
      <c r="AI41" s="53">
        <v>2</v>
      </c>
      <c r="AJ41" s="53">
        <v>4</v>
      </c>
      <c r="AK41" s="209">
        <v>6.5799323342673901</v>
      </c>
      <c r="AL41" s="53">
        <v>2</v>
      </c>
      <c r="AM41" s="53">
        <v>3</v>
      </c>
      <c r="AN41" s="53">
        <v>2</v>
      </c>
      <c r="AO41" s="209" t="s">
        <v>1014</v>
      </c>
    </row>
    <row r="42" spans="1:41" s="53" customFormat="1">
      <c r="A42" s="221" t="s">
        <v>826</v>
      </c>
      <c r="B42" s="53" t="s">
        <v>41</v>
      </c>
      <c r="C42" s="205" t="s">
        <v>802</v>
      </c>
      <c r="D42" s="212">
        <f t="shared" si="1"/>
        <v>84</v>
      </c>
      <c r="E42" s="213">
        <v>44390</v>
      </c>
      <c r="F42" s="213">
        <v>44474</v>
      </c>
      <c r="H42" s="208">
        <v>1</v>
      </c>
      <c r="I42" s="53">
        <v>68</v>
      </c>
      <c r="J42" s="53">
        <v>2</v>
      </c>
      <c r="K42" s="53">
        <v>1</v>
      </c>
      <c r="L42" s="53">
        <v>0</v>
      </c>
      <c r="M42" s="53">
        <v>0</v>
      </c>
      <c r="N42" s="209">
        <v>6.93273379746178</v>
      </c>
      <c r="O42" s="53">
        <v>1</v>
      </c>
      <c r="P42" s="53">
        <v>3</v>
      </c>
      <c r="Q42" s="53">
        <v>2</v>
      </c>
      <c r="R42" s="209" t="s">
        <v>953</v>
      </c>
      <c r="S42" s="53">
        <f>600-68</f>
        <v>532</v>
      </c>
      <c r="T42" s="53">
        <v>28.5</v>
      </c>
      <c r="U42" s="53">
        <f>9*60+12</f>
        <v>552</v>
      </c>
      <c r="V42" s="53">
        <v>14</v>
      </c>
      <c r="W42" s="53">
        <v>13</v>
      </c>
      <c r="X42" s="53">
        <v>2</v>
      </c>
      <c r="Y42" s="53">
        <v>9</v>
      </c>
      <c r="Z42" s="53">
        <v>9.6691959944129398</v>
      </c>
      <c r="AA42" s="206">
        <v>2</v>
      </c>
      <c r="AB42" s="212">
        <v>3</v>
      </c>
      <c r="AC42" s="212">
        <v>2</v>
      </c>
      <c r="AD42" s="209" t="s">
        <v>893</v>
      </c>
      <c r="AE42" s="53">
        <f>600-552</f>
        <v>48</v>
      </c>
      <c r="AF42" s="53">
        <v>240</v>
      </c>
      <c r="AG42" s="53">
        <v>3</v>
      </c>
      <c r="AH42" s="53">
        <v>4</v>
      </c>
      <c r="AI42" s="53">
        <v>1</v>
      </c>
      <c r="AJ42" s="53">
        <v>2</v>
      </c>
      <c r="AK42" s="209">
        <v>0.64744564629055001</v>
      </c>
      <c r="AL42" s="53">
        <v>3</v>
      </c>
      <c r="AM42" s="53">
        <v>3</v>
      </c>
      <c r="AN42" s="53">
        <v>4</v>
      </c>
      <c r="AO42" s="209" t="s">
        <v>1015</v>
      </c>
    </row>
    <row r="43" spans="1:41" s="95" customFormat="1">
      <c r="A43" s="220" t="s">
        <v>827</v>
      </c>
      <c r="B43" s="95" t="s">
        <v>41</v>
      </c>
      <c r="C43" s="190" t="s">
        <v>77</v>
      </c>
      <c r="D43" s="196">
        <f t="shared" si="1"/>
        <v>61</v>
      </c>
      <c r="E43" s="201">
        <v>44015</v>
      </c>
      <c r="F43" s="201">
        <v>44076</v>
      </c>
      <c r="H43" s="94">
        <v>0</v>
      </c>
      <c r="I43" s="95">
        <v>3</v>
      </c>
      <c r="J43" s="95">
        <v>0</v>
      </c>
      <c r="K43" s="95">
        <v>0</v>
      </c>
      <c r="L43" s="95">
        <v>0</v>
      </c>
      <c r="M43" s="95">
        <v>0</v>
      </c>
      <c r="N43" s="193">
        <v>7.0468164008799201</v>
      </c>
      <c r="O43" s="95">
        <v>0</v>
      </c>
      <c r="P43" s="95">
        <v>1</v>
      </c>
      <c r="Q43" s="95">
        <v>0</v>
      </c>
      <c r="R43" s="193" t="s">
        <v>954</v>
      </c>
      <c r="S43" s="95">
        <v>305</v>
      </c>
      <c r="T43" s="95">
        <v>26.5</v>
      </c>
      <c r="U43" s="95">
        <v>3</v>
      </c>
      <c r="V43" s="94">
        <v>0</v>
      </c>
      <c r="W43" s="94">
        <v>0</v>
      </c>
      <c r="X43" s="94">
        <v>0</v>
      </c>
      <c r="Y43" s="94">
        <v>0</v>
      </c>
      <c r="Z43" s="95">
        <v>6.3597485724272804</v>
      </c>
      <c r="AA43" s="191">
        <v>1</v>
      </c>
      <c r="AB43" s="191">
        <v>1</v>
      </c>
      <c r="AC43" s="191">
        <v>1</v>
      </c>
      <c r="AD43" s="193" t="s">
        <v>894</v>
      </c>
      <c r="AE43" s="95">
        <v>8</v>
      </c>
      <c r="AF43" s="95">
        <v>7</v>
      </c>
      <c r="AG43" s="95">
        <v>0</v>
      </c>
      <c r="AH43" s="95">
        <v>0</v>
      </c>
      <c r="AI43" s="95">
        <v>0</v>
      </c>
      <c r="AJ43" s="95">
        <v>0</v>
      </c>
      <c r="AK43" s="193">
        <v>15.822208824541701</v>
      </c>
      <c r="AL43" s="95">
        <v>1</v>
      </c>
      <c r="AM43" s="95">
        <v>1</v>
      </c>
      <c r="AN43" s="95">
        <v>2</v>
      </c>
      <c r="AO43" s="193" t="s">
        <v>1016</v>
      </c>
    </row>
    <row r="44" spans="1:41" s="53" customFormat="1">
      <c r="A44" s="214" t="s">
        <v>828</v>
      </c>
      <c r="B44" s="210" t="s">
        <v>41</v>
      </c>
      <c r="C44" s="53" t="s">
        <v>829</v>
      </c>
      <c r="H44" s="208">
        <v>1</v>
      </c>
      <c r="I44" s="53">
        <f>19-8</f>
        <v>11</v>
      </c>
      <c r="J44" s="53">
        <v>0</v>
      </c>
      <c r="K44" s="53">
        <v>0</v>
      </c>
      <c r="L44" s="53">
        <v>0</v>
      </c>
      <c r="M44" s="53">
        <v>1</v>
      </c>
      <c r="N44" s="224">
        <v>6.0898368526634004</v>
      </c>
      <c r="O44" s="53">
        <v>0</v>
      </c>
      <c r="P44" s="53">
        <v>1</v>
      </c>
      <c r="Q44" s="53">
        <v>0</v>
      </c>
      <c r="R44" s="53" t="s">
        <v>955</v>
      </c>
      <c r="S44" s="53">
        <v>589</v>
      </c>
      <c r="T44" s="53">
        <v>155</v>
      </c>
      <c r="U44" s="53">
        <f>2*60+41-6</f>
        <v>155</v>
      </c>
      <c r="V44" s="53">
        <v>1</v>
      </c>
      <c r="W44" s="53">
        <v>2</v>
      </c>
      <c r="X44" s="53">
        <v>0</v>
      </c>
      <c r="Y44" s="53">
        <v>3</v>
      </c>
      <c r="Z44" s="224">
        <v>7.8386457667854996</v>
      </c>
      <c r="AA44" s="53">
        <v>2</v>
      </c>
      <c r="AB44" s="53">
        <v>2</v>
      </c>
      <c r="AC44" s="53">
        <v>0</v>
      </c>
      <c r="AD44" s="53" t="s">
        <v>895</v>
      </c>
      <c r="AE44" s="53">
        <f>60-7</f>
        <v>53</v>
      </c>
      <c r="AF44" s="53">
        <v>600</v>
      </c>
      <c r="AG44" s="53">
        <v>5</v>
      </c>
      <c r="AH44" s="53">
        <v>12</v>
      </c>
      <c r="AI44" s="53">
        <v>3</v>
      </c>
      <c r="AJ44" s="53">
        <v>5</v>
      </c>
      <c r="AK44" s="224" t="s">
        <v>25</v>
      </c>
      <c r="AL44" s="53">
        <v>5</v>
      </c>
      <c r="AM44" s="53">
        <v>5</v>
      </c>
      <c r="AN44" s="53">
        <v>5</v>
      </c>
      <c r="AO44" s="53" t="s">
        <v>26</v>
      </c>
    </row>
    <row r="45" spans="1:41" s="53" customFormat="1">
      <c r="A45" s="214" t="s">
        <v>830</v>
      </c>
      <c r="B45" s="210" t="s">
        <v>41</v>
      </c>
      <c r="C45" s="53" t="s">
        <v>829</v>
      </c>
      <c r="H45" s="208">
        <v>1</v>
      </c>
      <c r="I45" s="53">
        <v>4</v>
      </c>
      <c r="J45" s="53">
        <v>0</v>
      </c>
      <c r="K45" s="53">
        <v>0</v>
      </c>
      <c r="L45" s="53">
        <v>0</v>
      </c>
      <c r="M45" s="53">
        <v>0</v>
      </c>
      <c r="N45" s="224">
        <v>5.4040337808058601</v>
      </c>
      <c r="O45" s="53">
        <v>0</v>
      </c>
      <c r="P45" s="53">
        <v>1</v>
      </c>
      <c r="Q45" s="53">
        <v>0</v>
      </c>
      <c r="R45" s="53" t="s">
        <v>956</v>
      </c>
      <c r="S45" s="53">
        <v>92</v>
      </c>
      <c r="T45" s="53">
        <v>32</v>
      </c>
      <c r="U45" s="53">
        <v>62</v>
      </c>
      <c r="V45" s="53">
        <v>3</v>
      </c>
      <c r="W45" s="53">
        <v>3</v>
      </c>
      <c r="X45" s="53">
        <v>3</v>
      </c>
      <c r="Y45" s="53">
        <v>1</v>
      </c>
      <c r="Z45" s="224">
        <v>6.1669585865277199</v>
      </c>
      <c r="AA45" s="53">
        <v>3</v>
      </c>
      <c r="AB45" s="53">
        <v>3</v>
      </c>
      <c r="AC45" s="53">
        <v>1</v>
      </c>
      <c r="AD45" s="53" t="s">
        <v>896</v>
      </c>
      <c r="AE45" s="53">
        <v>28</v>
      </c>
      <c r="AF45" s="53">
        <v>600</v>
      </c>
      <c r="AG45" s="53">
        <v>9</v>
      </c>
      <c r="AH45" s="53">
        <v>10</v>
      </c>
      <c r="AI45" s="53">
        <v>4</v>
      </c>
      <c r="AJ45" s="53">
        <v>2</v>
      </c>
      <c r="AK45" s="224" t="s">
        <v>25</v>
      </c>
      <c r="AL45" s="53">
        <v>5</v>
      </c>
      <c r="AM45" s="53">
        <v>5</v>
      </c>
      <c r="AN45" s="53">
        <v>5</v>
      </c>
      <c r="AO45" s="53" t="s">
        <v>26</v>
      </c>
    </row>
    <row r="46" spans="1:41" s="53" customFormat="1">
      <c r="A46" s="214" t="s">
        <v>831</v>
      </c>
      <c r="B46" s="210" t="s">
        <v>17</v>
      </c>
      <c r="C46" s="53" t="s">
        <v>829</v>
      </c>
      <c r="H46" s="208">
        <v>1</v>
      </c>
      <c r="I46" s="53">
        <v>10</v>
      </c>
      <c r="J46" s="53">
        <v>0</v>
      </c>
      <c r="K46" s="53">
        <v>0</v>
      </c>
      <c r="L46" s="53">
        <v>0</v>
      </c>
      <c r="M46" s="53">
        <v>1</v>
      </c>
      <c r="N46" s="224">
        <v>12.296545228508799</v>
      </c>
      <c r="O46" s="53">
        <v>0</v>
      </c>
      <c r="P46" s="53">
        <v>1</v>
      </c>
      <c r="Q46" s="53">
        <v>0</v>
      </c>
      <c r="R46" s="53" t="s">
        <v>957</v>
      </c>
      <c r="S46" s="53">
        <v>21</v>
      </c>
      <c r="T46" s="53">
        <v>4</v>
      </c>
      <c r="U46" s="53">
        <f>48-25</f>
        <v>23</v>
      </c>
      <c r="V46" s="53">
        <v>2</v>
      </c>
      <c r="W46" s="53">
        <v>1</v>
      </c>
      <c r="X46" s="53">
        <v>0</v>
      </c>
      <c r="Y46" s="53">
        <v>0</v>
      </c>
      <c r="Z46" s="224">
        <v>6.7263690403443697</v>
      </c>
      <c r="AA46" s="53">
        <v>0</v>
      </c>
      <c r="AB46" s="53">
        <v>1</v>
      </c>
      <c r="AC46" s="53">
        <v>0</v>
      </c>
      <c r="AD46" s="53" t="s">
        <v>897</v>
      </c>
      <c r="AE46" s="53">
        <v>8</v>
      </c>
      <c r="AF46" s="53">
        <v>56</v>
      </c>
      <c r="AG46" s="53">
        <v>2</v>
      </c>
      <c r="AH46" s="53">
        <v>2</v>
      </c>
      <c r="AI46" s="53">
        <v>0</v>
      </c>
      <c r="AJ46" s="53">
        <v>0</v>
      </c>
      <c r="AK46" s="224">
        <v>8.8423566130227709</v>
      </c>
      <c r="AL46" s="53">
        <v>3</v>
      </c>
      <c r="AM46" s="53">
        <v>2</v>
      </c>
      <c r="AN46" s="53">
        <v>0</v>
      </c>
      <c r="AO46" s="53" t="s">
        <v>1017</v>
      </c>
    </row>
    <row r="47" spans="1:41" s="95" customFormat="1">
      <c r="A47" s="237" t="s">
        <v>832</v>
      </c>
      <c r="B47" s="195" t="s">
        <v>17</v>
      </c>
      <c r="C47" s="95" t="s">
        <v>833</v>
      </c>
      <c r="H47" s="94">
        <v>0</v>
      </c>
      <c r="I47" s="95">
        <v>3</v>
      </c>
      <c r="J47" s="95">
        <v>1</v>
      </c>
      <c r="K47" s="95">
        <v>0</v>
      </c>
      <c r="L47" s="95">
        <v>0</v>
      </c>
      <c r="M47" s="95">
        <v>0</v>
      </c>
      <c r="N47" s="225">
        <v>7.2325339536188</v>
      </c>
      <c r="O47" s="95">
        <v>1</v>
      </c>
      <c r="P47" s="95">
        <v>3</v>
      </c>
      <c r="Q47" s="95">
        <v>1</v>
      </c>
      <c r="R47" s="95" t="s">
        <v>958</v>
      </c>
      <c r="S47" s="95">
        <v>7</v>
      </c>
      <c r="T47" s="95">
        <v>4</v>
      </c>
      <c r="U47" s="95">
        <v>12</v>
      </c>
      <c r="V47" s="95">
        <v>1</v>
      </c>
      <c r="W47" s="95">
        <v>1</v>
      </c>
      <c r="X47" s="95">
        <v>0</v>
      </c>
      <c r="Y47" s="95">
        <v>1</v>
      </c>
      <c r="Z47" s="225">
        <v>5.8624979794603096</v>
      </c>
      <c r="AA47" s="95">
        <v>3</v>
      </c>
      <c r="AB47" s="95">
        <v>3</v>
      </c>
      <c r="AC47" s="95">
        <v>1</v>
      </c>
      <c r="AD47" s="95" t="s">
        <v>898</v>
      </c>
      <c r="AE47" s="95">
        <v>6</v>
      </c>
      <c r="AF47" s="95">
        <v>600</v>
      </c>
      <c r="AG47" s="95">
        <v>4</v>
      </c>
      <c r="AH47" s="95">
        <v>4</v>
      </c>
      <c r="AI47" s="95">
        <v>2</v>
      </c>
      <c r="AJ47" s="95">
        <v>2</v>
      </c>
      <c r="AK47" s="225" t="s">
        <v>25</v>
      </c>
      <c r="AL47" s="95">
        <v>5</v>
      </c>
      <c r="AM47" s="95">
        <v>5</v>
      </c>
      <c r="AN47" s="95">
        <v>5</v>
      </c>
      <c r="AO47" s="95" t="s">
        <v>26</v>
      </c>
    </row>
    <row r="48" spans="1:41" s="53" customFormat="1">
      <c r="A48" s="214" t="s">
        <v>834</v>
      </c>
      <c r="B48" s="210" t="s">
        <v>17</v>
      </c>
      <c r="C48" s="53" t="s">
        <v>829</v>
      </c>
      <c r="H48" s="208">
        <v>1</v>
      </c>
      <c r="I48" s="53">
        <v>3</v>
      </c>
      <c r="J48" s="53">
        <v>0</v>
      </c>
      <c r="K48" s="53">
        <v>0</v>
      </c>
      <c r="L48" s="53">
        <v>0</v>
      </c>
      <c r="M48" s="53">
        <v>0</v>
      </c>
      <c r="N48" s="224">
        <v>5.1516014125022203</v>
      </c>
      <c r="O48" s="53">
        <v>0</v>
      </c>
      <c r="P48" s="53">
        <v>1</v>
      </c>
      <c r="Q48" s="53">
        <v>0</v>
      </c>
      <c r="R48" s="53" t="s">
        <v>959</v>
      </c>
      <c r="S48" s="53">
        <v>15</v>
      </c>
      <c r="T48" s="53">
        <v>7</v>
      </c>
      <c r="U48" s="53">
        <v>4</v>
      </c>
      <c r="V48" s="53">
        <v>0</v>
      </c>
      <c r="W48" s="53">
        <v>0</v>
      </c>
      <c r="X48" s="53">
        <v>0</v>
      </c>
      <c r="Y48" s="53">
        <v>0</v>
      </c>
      <c r="Z48" s="224">
        <v>12.085798546071301</v>
      </c>
      <c r="AA48" s="53">
        <v>2</v>
      </c>
      <c r="AB48" s="53">
        <v>3</v>
      </c>
      <c r="AC48" s="53">
        <v>1</v>
      </c>
      <c r="AD48" s="53" t="s">
        <v>899</v>
      </c>
      <c r="AE48" s="53">
        <v>2</v>
      </c>
      <c r="AF48" s="53">
        <v>19</v>
      </c>
      <c r="AG48" s="53">
        <v>0</v>
      </c>
      <c r="AH48" s="53">
        <v>0</v>
      </c>
      <c r="AI48" s="53">
        <v>0</v>
      </c>
      <c r="AJ48" s="53">
        <v>2</v>
      </c>
      <c r="AK48" s="224">
        <v>13.0381000728439</v>
      </c>
      <c r="AL48" s="53">
        <v>3</v>
      </c>
      <c r="AM48" s="53">
        <v>2</v>
      </c>
      <c r="AN48" s="53">
        <v>1</v>
      </c>
      <c r="AO48" s="53" t="s">
        <v>1018</v>
      </c>
    </row>
    <row r="49" spans="1:41" s="95" customFormat="1">
      <c r="A49" s="237" t="s">
        <v>835</v>
      </c>
      <c r="B49" s="195" t="s">
        <v>41</v>
      </c>
      <c r="C49" s="95" t="s">
        <v>833</v>
      </c>
      <c r="H49" s="94">
        <v>0</v>
      </c>
      <c r="I49" s="95">
        <f>31-7</f>
        <v>24</v>
      </c>
      <c r="J49" s="95">
        <v>1</v>
      </c>
      <c r="K49" s="95">
        <v>1</v>
      </c>
      <c r="L49" s="95">
        <v>0</v>
      </c>
      <c r="M49" s="95">
        <v>1</v>
      </c>
      <c r="N49" s="225">
        <v>5.0994121068727196</v>
      </c>
      <c r="O49" s="95">
        <v>3</v>
      </c>
      <c r="P49" s="95">
        <v>2</v>
      </c>
      <c r="Q49" s="95">
        <v>1</v>
      </c>
      <c r="R49" s="95" t="s">
        <v>960</v>
      </c>
      <c r="S49" s="95">
        <f>73-31</f>
        <v>42</v>
      </c>
      <c r="T49" s="95">
        <v>9</v>
      </c>
      <c r="U49" s="95">
        <v>600</v>
      </c>
      <c r="V49" s="95">
        <v>12</v>
      </c>
      <c r="W49" s="95">
        <v>13</v>
      </c>
      <c r="X49" s="95">
        <v>1</v>
      </c>
      <c r="Y49" s="95">
        <v>5</v>
      </c>
      <c r="Z49" s="225" t="s">
        <v>25</v>
      </c>
      <c r="AA49" s="95">
        <v>5</v>
      </c>
      <c r="AB49" s="95">
        <v>5</v>
      </c>
      <c r="AC49" s="95">
        <v>5</v>
      </c>
      <c r="AD49" s="95" t="s">
        <v>26</v>
      </c>
      <c r="AE49" s="95">
        <v>0</v>
      </c>
      <c r="AF49" s="95">
        <v>600</v>
      </c>
      <c r="AG49" s="95">
        <v>18</v>
      </c>
      <c r="AH49" s="95">
        <v>12</v>
      </c>
      <c r="AI49" s="95">
        <v>2</v>
      </c>
      <c r="AJ49" s="95">
        <v>13</v>
      </c>
      <c r="AK49" s="225" t="s">
        <v>25</v>
      </c>
      <c r="AL49" s="95">
        <v>5</v>
      </c>
      <c r="AM49" s="95">
        <v>5</v>
      </c>
      <c r="AN49" s="95">
        <v>5</v>
      </c>
      <c r="AO49" s="95" t="s">
        <v>26</v>
      </c>
    </row>
    <row r="50" spans="1:41" s="95" customFormat="1">
      <c r="A50" s="237" t="s">
        <v>836</v>
      </c>
      <c r="B50" s="195" t="s">
        <v>17</v>
      </c>
      <c r="C50" s="95" t="s">
        <v>833</v>
      </c>
      <c r="H50" s="94">
        <v>0</v>
      </c>
      <c r="I50" s="95">
        <v>4</v>
      </c>
      <c r="J50" s="95">
        <v>1</v>
      </c>
      <c r="K50" s="95">
        <v>0</v>
      </c>
      <c r="L50" s="95">
        <v>0</v>
      </c>
      <c r="M50" s="95">
        <v>0</v>
      </c>
      <c r="N50" s="225">
        <v>4.9893976774940301</v>
      </c>
      <c r="O50" s="95">
        <v>1</v>
      </c>
      <c r="P50" s="95">
        <v>3</v>
      </c>
      <c r="Q50" s="95">
        <v>1</v>
      </c>
      <c r="R50" s="95" t="s">
        <v>961</v>
      </c>
      <c r="S50" s="95">
        <v>2.5</v>
      </c>
      <c r="T50" s="95">
        <v>1.5</v>
      </c>
      <c r="U50" s="95">
        <v>600</v>
      </c>
      <c r="V50" s="95">
        <v>18</v>
      </c>
      <c r="W50" s="95">
        <v>16</v>
      </c>
      <c r="X50" s="95">
        <v>3</v>
      </c>
      <c r="Y50" s="95">
        <v>1</v>
      </c>
      <c r="Z50" s="225" t="s">
        <v>25</v>
      </c>
      <c r="AA50" s="95">
        <v>5</v>
      </c>
      <c r="AB50" s="95">
        <v>5</v>
      </c>
      <c r="AC50" s="95">
        <v>5</v>
      </c>
      <c r="AD50" s="95" t="s">
        <v>624</v>
      </c>
      <c r="AE50" s="95">
        <v>0</v>
      </c>
      <c r="AF50" s="95">
        <v>600</v>
      </c>
      <c r="AG50" s="95">
        <v>9</v>
      </c>
      <c r="AH50" s="95">
        <v>12</v>
      </c>
      <c r="AI50" s="95">
        <v>1</v>
      </c>
      <c r="AJ50" s="95">
        <v>4</v>
      </c>
      <c r="AK50" s="225" t="s">
        <v>25</v>
      </c>
      <c r="AL50" s="95">
        <v>5</v>
      </c>
      <c r="AM50" s="95">
        <v>5</v>
      </c>
      <c r="AN50" s="95">
        <v>5</v>
      </c>
      <c r="AO50" s="95" t="s">
        <v>26</v>
      </c>
    </row>
    <row r="51" spans="1:41" s="53" customFormat="1">
      <c r="A51" s="214" t="s">
        <v>837</v>
      </c>
      <c r="B51" s="210" t="s">
        <v>17</v>
      </c>
      <c r="C51" s="53" t="s">
        <v>829</v>
      </c>
      <c r="H51" s="208">
        <v>1</v>
      </c>
      <c r="I51" s="53">
        <v>7</v>
      </c>
      <c r="J51" s="53">
        <v>0</v>
      </c>
      <c r="K51" s="53">
        <v>0</v>
      </c>
      <c r="L51" s="53">
        <v>0</v>
      </c>
      <c r="M51" s="53">
        <v>0</v>
      </c>
      <c r="N51" s="224">
        <v>1.8135330945407</v>
      </c>
      <c r="O51" s="53">
        <v>0</v>
      </c>
      <c r="P51" s="53">
        <v>1</v>
      </c>
      <c r="Q51" s="53">
        <v>0</v>
      </c>
      <c r="R51" s="53" t="s">
        <v>962</v>
      </c>
      <c r="S51" s="53">
        <f>33-17</f>
        <v>16</v>
      </c>
      <c r="T51" s="53">
        <v>14</v>
      </c>
      <c r="U51" s="53">
        <v>77</v>
      </c>
      <c r="V51" s="53">
        <v>1</v>
      </c>
      <c r="W51" s="53">
        <v>1</v>
      </c>
      <c r="X51" s="53">
        <v>0</v>
      </c>
      <c r="Y51" s="53">
        <v>1</v>
      </c>
      <c r="Z51" s="224">
        <v>1.98480177058285</v>
      </c>
      <c r="AA51" s="53">
        <v>0</v>
      </c>
      <c r="AB51" s="53">
        <v>1</v>
      </c>
      <c r="AC51" s="53">
        <v>0</v>
      </c>
      <c r="AD51" s="53" t="s">
        <v>900</v>
      </c>
      <c r="AE51" s="53">
        <v>2</v>
      </c>
      <c r="AF51" s="53">
        <v>371</v>
      </c>
      <c r="AG51" s="53">
        <v>10</v>
      </c>
      <c r="AH51" s="53">
        <v>7</v>
      </c>
      <c r="AI51" s="53">
        <v>0</v>
      </c>
      <c r="AJ51" s="53">
        <v>4</v>
      </c>
      <c r="AK51" s="224">
        <v>10.8314599811231</v>
      </c>
      <c r="AL51" s="53">
        <v>2</v>
      </c>
      <c r="AM51" s="53">
        <v>3</v>
      </c>
      <c r="AN51" s="53">
        <v>2</v>
      </c>
      <c r="AO51" s="53" t="s">
        <v>1019</v>
      </c>
    </row>
    <row r="52" spans="1:41" s="95" customFormat="1">
      <c r="A52" s="237" t="s">
        <v>838</v>
      </c>
      <c r="B52" s="195" t="s">
        <v>17</v>
      </c>
      <c r="C52" s="95" t="s">
        <v>833</v>
      </c>
      <c r="H52" s="94">
        <v>0</v>
      </c>
      <c r="I52" s="95">
        <v>8</v>
      </c>
      <c r="J52" s="95">
        <v>1</v>
      </c>
      <c r="K52" s="95">
        <v>0</v>
      </c>
      <c r="L52" s="95">
        <v>0</v>
      </c>
      <c r="M52" s="95">
        <v>1</v>
      </c>
      <c r="N52" s="225">
        <v>18.607171343836601</v>
      </c>
      <c r="O52" s="95">
        <v>0</v>
      </c>
      <c r="P52" s="95">
        <v>1</v>
      </c>
      <c r="Q52" s="95">
        <v>0</v>
      </c>
      <c r="R52" s="95" t="s">
        <v>963</v>
      </c>
      <c r="S52" s="95">
        <v>1</v>
      </c>
      <c r="T52" s="95">
        <v>0</v>
      </c>
      <c r="U52" s="95">
        <f>63-8</f>
        <v>55</v>
      </c>
      <c r="V52" s="95">
        <v>2</v>
      </c>
      <c r="W52" s="95">
        <v>2</v>
      </c>
      <c r="X52" s="95">
        <v>0</v>
      </c>
      <c r="Y52" s="95">
        <v>2</v>
      </c>
      <c r="Z52" s="225">
        <v>9.6770433102139997</v>
      </c>
      <c r="AA52" s="95">
        <v>3</v>
      </c>
      <c r="AB52" s="95">
        <v>3</v>
      </c>
      <c r="AC52" s="95">
        <v>1</v>
      </c>
      <c r="AD52" s="95" t="s">
        <v>901</v>
      </c>
      <c r="AE52" s="95">
        <f>8*60+10</f>
        <v>490</v>
      </c>
      <c r="AF52" s="95">
        <v>600</v>
      </c>
      <c r="AG52" s="95">
        <v>8</v>
      </c>
      <c r="AH52" s="95">
        <v>10</v>
      </c>
      <c r="AI52" s="95">
        <v>1</v>
      </c>
      <c r="AJ52" s="95">
        <v>5</v>
      </c>
      <c r="AK52" s="225" t="s">
        <v>25</v>
      </c>
      <c r="AL52" s="95">
        <v>5</v>
      </c>
      <c r="AM52" s="95">
        <v>5</v>
      </c>
      <c r="AN52" s="95">
        <v>5</v>
      </c>
      <c r="AO52" s="95" t="s">
        <v>26</v>
      </c>
    </row>
    <row r="53" spans="1:41" s="53" customFormat="1">
      <c r="A53" s="214" t="s">
        <v>839</v>
      </c>
      <c r="B53" s="210" t="s">
        <v>41</v>
      </c>
      <c r="C53" s="53" t="s">
        <v>840</v>
      </c>
      <c r="H53" s="208">
        <v>1</v>
      </c>
      <c r="I53" s="53">
        <v>6</v>
      </c>
      <c r="J53" s="53">
        <v>1</v>
      </c>
      <c r="K53" s="53">
        <v>0</v>
      </c>
      <c r="L53" s="53">
        <v>0</v>
      </c>
      <c r="M53" s="53">
        <v>0</v>
      </c>
      <c r="N53" s="224">
        <v>5.10296759963013</v>
      </c>
      <c r="O53" s="53">
        <v>2</v>
      </c>
      <c r="P53" s="53">
        <v>3</v>
      </c>
      <c r="Q53" s="53">
        <v>2</v>
      </c>
      <c r="R53" s="53" t="s">
        <v>964</v>
      </c>
      <c r="S53" s="53">
        <f>120+52-16</f>
        <v>156</v>
      </c>
      <c r="T53" s="53">
        <v>29</v>
      </c>
      <c r="U53" s="53">
        <v>10</v>
      </c>
      <c r="V53" s="53">
        <v>1</v>
      </c>
      <c r="W53" s="53">
        <v>0</v>
      </c>
      <c r="X53" s="53">
        <v>0</v>
      </c>
      <c r="Y53" s="53">
        <v>0</v>
      </c>
      <c r="Z53" s="224">
        <v>7.1517108045313904</v>
      </c>
      <c r="AA53" s="53">
        <v>1</v>
      </c>
      <c r="AB53" s="53">
        <v>1</v>
      </c>
      <c r="AC53" s="53">
        <v>2</v>
      </c>
      <c r="AD53" s="53" t="s">
        <v>902</v>
      </c>
      <c r="AE53" s="53">
        <v>146</v>
      </c>
      <c r="AF53" s="53">
        <v>19</v>
      </c>
      <c r="AG53" s="53">
        <v>3</v>
      </c>
      <c r="AH53" s="53">
        <v>2</v>
      </c>
      <c r="AI53" s="53">
        <v>0</v>
      </c>
      <c r="AJ53" s="53">
        <v>0</v>
      </c>
      <c r="AK53" s="224">
        <v>10.7132296046583</v>
      </c>
      <c r="AL53" s="53">
        <v>3</v>
      </c>
      <c r="AM53" s="53">
        <v>3</v>
      </c>
      <c r="AN53" s="53">
        <v>1</v>
      </c>
      <c r="AO53" s="53" t="s">
        <v>1020</v>
      </c>
    </row>
    <row r="54" spans="1:41" s="53" customFormat="1">
      <c r="A54" s="214" t="s">
        <v>841</v>
      </c>
      <c r="B54" s="210" t="s">
        <v>17</v>
      </c>
      <c r="C54" s="53" t="s">
        <v>840</v>
      </c>
      <c r="H54" s="208">
        <v>1</v>
      </c>
      <c r="I54" s="53">
        <v>10</v>
      </c>
      <c r="J54" s="53">
        <v>2</v>
      </c>
      <c r="K54" s="53">
        <v>1</v>
      </c>
      <c r="L54" s="53">
        <v>0</v>
      </c>
      <c r="M54" s="53">
        <v>0</v>
      </c>
      <c r="N54" s="224">
        <v>9.6821862027410805</v>
      </c>
      <c r="O54" s="53">
        <v>1</v>
      </c>
      <c r="P54" s="53">
        <v>1</v>
      </c>
      <c r="Q54" s="53">
        <v>1</v>
      </c>
      <c r="R54" s="53" t="s">
        <v>965</v>
      </c>
      <c r="S54" s="53">
        <v>12</v>
      </c>
      <c r="T54" s="53">
        <v>7</v>
      </c>
      <c r="U54" s="53">
        <v>5</v>
      </c>
      <c r="V54" s="53">
        <v>1</v>
      </c>
      <c r="W54" s="53">
        <v>0</v>
      </c>
      <c r="X54" s="53">
        <v>0</v>
      </c>
      <c r="Y54" s="53">
        <v>0</v>
      </c>
      <c r="Z54" s="224">
        <v>4.1500272854532998</v>
      </c>
      <c r="AA54" s="53">
        <v>1</v>
      </c>
      <c r="AB54" s="53">
        <v>2</v>
      </c>
      <c r="AC54" s="53">
        <v>1</v>
      </c>
      <c r="AD54" s="53" t="s">
        <v>903</v>
      </c>
      <c r="AE54" s="53">
        <v>16</v>
      </c>
      <c r="AF54" s="53">
        <v>303</v>
      </c>
      <c r="AG54" s="53">
        <v>6</v>
      </c>
      <c r="AH54" s="53">
        <v>5</v>
      </c>
      <c r="AI54" s="53">
        <v>1</v>
      </c>
      <c r="AJ54" s="53">
        <v>9</v>
      </c>
      <c r="AK54" s="224">
        <v>7.5713041393491398</v>
      </c>
      <c r="AL54" s="53">
        <v>0</v>
      </c>
      <c r="AM54" s="53">
        <v>1</v>
      </c>
      <c r="AN54" s="53">
        <v>1</v>
      </c>
      <c r="AO54" s="53" t="s">
        <v>1021</v>
      </c>
    </row>
    <row r="55" spans="1:41" s="53" customFormat="1">
      <c r="A55" s="214" t="s">
        <v>842</v>
      </c>
      <c r="B55" s="210" t="s">
        <v>41</v>
      </c>
      <c r="C55" s="53" t="s">
        <v>840</v>
      </c>
      <c r="H55" s="208">
        <v>1</v>
      </c>
      <c r="I55" s="53">
        <v>7</v>
      </c>
      <c r="J55" s="53">
        <v>0</v>
      </c>
      <c r="K55" s="53">
        <v>0</v>
      </c>
      <c r="L55" s="53">
        <v>0</v>
      </c>
      <c r="M55" s="53">
        <v>0</v>
      </c>
      <c r="N55" s="224">
        <v>2.71521366931713</v>
      </c>
      <c r="O55" s="53">
        <v>0</v>
      </c>
      <c r="P55" s="53">
        <v>1</v>
      </c>
      <c r="Q55" s="53">
        <v>0</v>
      </c>
      <c r="R55" s="53" t="s">
        <v>966</v>
      </c>
      <c r="S55" s="53">
        <v>593</v>
      </c>
      <c r="T55" s="53">
        <v>182</v>
      </c>
      <c r="U55" s="53">
        <v>600</v>
      </c>
      <c r="V55" s="53">
        <v>4</v>
      </c>
      <c r="W55" s="53">
        <v>6</v>
      </c>
      <c r="X55" s="53">
        <v>1</v>
      </c>
      <c r="Y55" s="53">
        <v>3</v>
      </c>
      <c r="Z55" s="224" t="s">
        <v>25</v>
      </c>
      <c r="AA55" s="53">
        <v>5</v>
      </c>
      <c r="AB55" s="53">
        <v>5</v>
      </c>
      <c r="AC55" s="53">
        <v>5</v>
      </c>
      <c r="AD55" s="53" t="s">
        <v>26</v>
      </c>
      <c r="AE55" s="53">
        <v>0</v>
      </c>
      <c r="AF55" s="53">
        <v>298</v>
      </c>
      <c r="AG55" s="53">
        <v>7</v>
      </c>
      <c r="AH55" s="53">
        <v>7</v>
      </c>
      <c r="AI55" s="53">
        <v>2</v>
      </c>
      <c r="AJ55" s="53">
        <v>1</v>
      </c>
      <c r="AK55" s="224">
        <v>1.9058769429081199</v>
      </c>
      <c r="AL55" s="53">
        <v>4</v>
      </c>
      <c r="AM55" s="53">
        <v>3</v>
      </c>
      <c r="AN55" s="53">
        <v>3</v>
      </c>
      <c r="AO55" s="53" t="s">
        <v>1022</v>
      </c>
    </row>
    <row r="56" spans="1:41" s="53" customFormat="1">
      <c r="A56" s="214" t="s">
        <v>843</v>
      </c>
      <c r="B56" s="210" t="s">
        <v>41</v>
      </c>
      <c r="C56" s="53" t="s">
        <v>829</v>
      </c>
      <c r="H56" s="208">
        <v>1</v>
      </c>
      <c r="I56" s="53">
        <f>15-7</f>
        <v>8</v>
      </c>
      <c r="J56" s="53">
        <v>1</v>
      </c>
      <c r="K56" s="53">
        <v>1</v>
      </c>
      <c r="L56" s="53">
        <v>0</v>
      </c>
      <c r="M56" s="53">
        <v>0</v>
      </c>
      <c r="N56" s="224">
        <v>15.3264930831141</v>
      </c>
      <c r="O56" s="53">
        <v>0</v>
      </c>
      <c r="P56" s="53">
        <v>1</v>
      </c>
      <c r="Q56" s="53">
        <v>0</v>
      </c>
      <c r="R56" s="53" t="s">
        <v>967</v>
      </c>
      <c r="S56" s="53">
        <f>208-15</f>
        <v>193</v>
      </c>
      <c r="T56" s="53">
        <v>33</v>
      </c>
      <c r="U56" s="53">
        <v>13</v>
      </c>
      <c r="V56" s="53">
        <v>1</v>
      </c>
      <c r="W56" s="53">
        <v>0</v>
      </c>
      <c r="X56" s="53">
        <v>0</v>
      </c>
      <c r="Y56" s="53">
        <v>1</v>
      </c>
      <c r="Z56" s="224">
        <v>18.144621241617799</v>
      </c>
      <c r="AA56" s="53">
        <v>0</v>
      </c>
      <c r="AB56" s="53">
        <v>1</v>
      </c>
      <c r="AC56" s="53">
        <v>1</v>
      </c>
      <c r="AD56" s="53" t="s">
        <v>904</v>
      </c>
      <c r="AE56" s="53">
        <v>29</v>
      </c>
      <c r="AF56" s="53">
        <v>9</v>
      </c>
      <c r="AG56" s="53">
        <v>2</v>
      </c>
      <c r="AH56" s="53">
        <v>2</v>
      </c>
      <c r="AI56" s="53">
        <v>2</v>
      </c>
      <c r="AJ56" s="53">
        <v>0</v>
      </c>
      <c r="AK56" s="224">
        <v>11.5374989677759</v>
      </c>
      <c r="AL56" s="53">
        <v>0</v>
      </c>
      <c r="AM56" s="53">
        <v>1</v>
      </c>
      <c r="AN56" s="53">
        <v>0</v>
      </c>
      <c r="AO56" s="53" t="s">
        <v>1023</v>
      </c>
    </row>
    <row r="57" spans="1:41" s="95" customFormat="1">
      <c r="A57" s="238" t="s">
        <v>844</v>
      </c>
      <c r="B57" s="226" t="s">
        <v>41</v>
      </c>
      <c r="C57" s="54" t="s">
        <v>833</v>
      </c>
      <c r="D57" s="54"/>
      <c r="E57" s="54"/>
      <c r="F57" s="54"/>
      <c r="H57" s="285">
        <v>0</v>
      </c>
      <c r="I57" s="54">
        <f>21-6</f>
        <v>15</v>
      </c>
      <c r="J57" s="54">
        <v>1</v>
      </c>
      <c r="K57" s="54">
        <v>1</v>
      </c>
      <c r="L57" s="54">
        <v>0</v>
      </c>
      <c r="M57" s="54">
        <v>2</v>
      </c>
      <c r="N57" s="227">
        <v>8.4604775086743</v>
      </c>
      <c r="O57" s="54">
        <v>3</v>
      </c>
      <c r="P57" s="54">
        <v>3</v>
      </c>
      <c r="Q57" s="54">
        <v>1</v>
      </c>
      <c r="R57" s="54" t="s">
        <v>968</v>
      </c>
      <c r="S57" s="54">
        <v>222</v>
      </c>
      <c r="T57" s="54">
        <v>90</v>
      </c>
      <c r="U57" s="54">
        <f>356</f>
        <v>356</v>
      </c>
      <c r="V57" s="54">
        <v>6</v>
      </c>
      <c r="W57" s="54">
        <v>7</v>
      </c>
      <c r="X57" s="54">
        <v>3</v>
      </c>
      <c r="Y57" s="54">
        <v>1</v>
      </c>
      <c r="Z57" s="227">
        <v>10.2648811168786</v>
      </c>
      <c r="AA57" s="54">
        <v>2</v>
      </c>
      <c r="AB57" s="54">
        <v>3</v>
      </c>
      <c r="AC57" s="54">
        <v>2</v>
      </c>
      <c r="AD57" s="54" t="s">
        <v>905</v>
      </c>
      <c r="AE57" s="54">
        <v>43</v>
      </c>
      <c r="AF57" s="54">
        <v>353</v>
      </c>
      <c r="AG57" s="54">
        <v>16</v>
      </c>
      <c r="AH57" s="54">
        <v>17</v>
      </c>
      <c r="AI57" s="54">
        <v>4</v>
      </c>
      <c r="AJ57" s="54">
        <v>2</v>
      </c>
      <c r="AK57" s="227">
        <v>4.7726416635720597</v>
      </c>
      <c r="AL57" s="54">
        <v>0</v>
      </c>
      <c r="AM57" s="54">
        <v>1</v>
      </c>
      <c r="AN57" s="54">
        <v>0</v>
      </c>
      <c r="AO57" s="54" t="s">
        <v>1024</v>
      </c>
    </row>
    <row r="58" spans="1:41" s="53" customFormat="1">
      <c r="A58" s="239" t="s">
        <v>845</v>
      </c>
      <c r="B58" s="228" t="s">
        <v>41</v>
      </c>
      <c r="C58" s="229" t="s">
        <v>829</v>
      </c>
      <c r="D58" s="51"/>
      <c r="E58" s="51"/>
      <c r="F58" s="51"/>
      <c r="H58" s="52">
        <v>1</v>
      </c>
      <c r="I58" s="230">
        <v>22</v>
      </c>
      <c r="J58" s="228">
        <v>2</v>
      </c>
      <c r="K58" s="230">
        <v>1</v>
      </c>
      <c r="L58" s="230">
        <v>0</v>
      </c>
      <c r="M58" s="230">
        <v>0</v>
      </c>
      <c r="N58" s="231">
        <v>5.0191249395423698</v>
      </c>
      <c r="O58" s="230">
        <v>2</v>
      </c>
      <c r="P58" s="230">
        <v>3</v>
      </c>
      <c r="Q58" s="230">
        <v>2</v>
      </c>
      <c r="R58" s="51" t="s">
        <v>969</v>
      </c>
      <c r="S58" s="51">
        <v>140</v>
      </c>
      <c r="T58" s="230">
        <v>11</v>
      </c>
      <c r="U58" s="230">
        <v>600</v>
      </c>
      <c r="V58" s="230">
        <v>2</v>
      </c>
      <c r="W58" s="230">
        <v>2</v>
      </c>
      <c r="X58" s="230">
        <v>0</v>
      </c>
      <c r="Y58" s="230">
        <v>3</v>
      </c>
      <c r="Z58" s="231" t="s">
        <v>25</v>
      </c>
      <c r="AA58" s="230">
        <v>5</v>
      </c>
      <c r="AB58" s="230">
        <v>5</v>
      </c>
      <c r="AC58" s="230">
        <v>5</v>
      </c>
      <c r="AD58" s="51" t="s">
        <v>42</v>
      </c>
      <c r="AE58" s="230">
        <v>0</v>
      </c>
      <c r="AF58" s="51">
        <f>7*60+18</f>
        <v>438</v>
      </c>
      <c r="AG58" s="51">
        <v>6</v>
      </c>
      <c r="AH58" s="51">
        <v>9</v>
      </c>
      <c r="AI58" s="51">
        <v>1</v>
      </c>
      <c r="AJ58" s="51">
        <v>3</v>
      </c>
      <c r="AK58" s="231">
        <v>7.9131832970448404</v>
      </c>
      <c r="AL58" s="51">
        <v>0</v>
      </c>
      <c r="AM58" s="51">
        <v>1</v>
      </c>
      <c r="AN58" s="51">
        <v>0</v>
      </c>
      <c r="AO58" s="51" t="s">
        <v>1025</v>
      </c>
    </row>
    <row r="59" spans="1:41" s="95" customFormat="1">
      <c r="A59" s="238" t="s">
        <v>846</v>
      </c>
      <c r="B59" s="232" t="s">
        <v>17</v>
      </c>
      <c r="C59" s="233" t="s">
        <v>833</v>
      </c>
      <c r="D59" s="54"/>
      <c r="E59" s="54"/>
      <c r="F59" s="54"/>
      <c r="H59" s="285">
        <v>0</v>
      </c>
      <c r="I59" s="226">
        <v>31</v>
      </c>
      <c r="J59" s="226">
        <v>3</v>
      </c>
      <c r="K59" s="226">
        <v>1</v>
      </c>
      <c r="L59" s="226">
        <v>0</v>
      </c>
      <c r="M59" s="226">
        <v>1</v>
      </c>
      <c r="N59" s="227">
        <v>3.2217504939200698</v>
      </c>
      <c r="O59" s="226">
        <v>1</v>
      </c>
      <c r="P59" s="226">
        <v>1</v>
      </c>
      <c r="Q59" s="226">
        <v>1</v>
      </c>
      <c r="R59" s="54" t="s">
        <v>970</v>
      </c>
      <c r="S59" s="95">
        <v>32</v>
      </c>
      <c r="T59" s="226">
        <v>20</v>
      </c>
      <c r="U59" s="226">
        <v>296</v>
      </c>
      <c r="V59" s="226">
        <v>4</v>
      </c>
      <c r="W59" s="95">
        <v>6</v>
      </c>
      <c r="X59" s="226">
        <v>2</v>
      </c>
      <c r="Y59" s="226">
        <v>2</v>
      </c>
      <c r="Z59" s="227">
        <v>1.1431118153391899</v>
      </c>
      <c r="AA59" s="226">
        <v>3</v>
      </c>
      <c r="AB59" s="226">
        <v>2</v>
      </c>
      <c r="AC59" s="226">
        <v>1</v>
      </c>
      <c r="AD59" s="54" t="s">
        <v>906</v>
      </c>
      <c r="AE59" s="226">
        <v>1</v>
      </c>
      <c r="AF59" s="54">
        <f>3*60+49-25</f>
        <v>204</v>
      </c>
      <c r="AG59" s="54">
        <v>7</v>
      </c>
      <c r="AH59" s="54">
        <v>9</v>
      </c>
      <c r="AI59" s="54">
        <v>2</v>
      </c>
      <c r="AJ59" s="54">
        <v>0</v>
      </c>
      <c r="AK59" s="225">
        <v>8.8344909414014801</v>
      </c>
      <c r="AL59" s="54">
        <v>3</v>
      </c>
      <c r="AM59" s="54">
        <v>2</v>
      </c>
      <c r="AN59" s="54">
        <v>0</v>
      </c>
      <c r="AO59" s="54" t="s">
        <v>1026</v>
      </c>
    </row>
    <row r="60" spans="1:41" s="95" customFormat="1">
      <c r="A60" s="238" t="s">
        <v>847</v>
      </c>
      <c r="B60" s="232" t="s">
        <v>41</v>
      </c>
      <c r="C60" s="233" t="s">
        <v>833</v>
      </c>
      <c r="D60" s="54"/>
      <c r="E60" s="54"/>
      <c r="F60" s="54"/>
      <c r="H60" s="285">
        <v>1</v>
      </c>
      <c r="I60" s="226">
        <v>10</v>
      </c>
      <c r="J60" s="226">
        <v>1</v>
      </c>
      <c r="K60" s="226">
        <v>0</v>
      </c>
      <c r="L60" s="226">
        <v>0</v>
      </c>
      <c r="M60" s="226">
        <v>0</v>
      </c>
      <c r="N60" s="227">
        <v>6.0059329746875996</v>
      </c>
      <c r="O60" s="226">
        <v>0</v>
      </c>
      <c r="P60" s="226">
        <v>1</v>
      </c>
      <c r="Q60" s="226">
        <v>0</v>
      </c>
      <c r="R60" s="54" t="s">
        <v>971</v>
      </c>
      <c r="S60" s="95">
        <v>20</v>
      </c>
      <c r="T60" s="226">
        <v>19</v>
      </c>
      <c r="U60" s="226">
        <f>84-11</f>
        <v>73</v>
      </c>
      <c r="V60" s="226">
        <v>6</v>
      </c>
      <c r="W60" s="226">
        <v>7</v>
      </c>
      <c r="X60" s="226">
        <v>0</v>
      </c>
      <c r="Y60" s="226">
        <v>0</v>
      </c>
      <c r="Z60" s="227">
        <v>2.7243170924374902</v>
      </c>
      <c r="AA60" s="226">
        <v>3</v>
      </c>
      <c r="AB60" s="226">
        <v>2</v>
      </c>
      <c r="AC60" s="226">
        <v>1</v>
      </c>
      <c r="AD60" s="54" t="s">
        <v>907</v>
      </c>
      <c r="AE60" s="226">
        <v>1.5</v>
      </c>
      <c r="AF60" s="54">
        <f>4*60+30</f>
        <v>270</v>
      </c>
      <c r="AG60" s="54">
        <v>7</v>
      </c>
      <c r="AH60" s="54">
        <v>4</v>
      </c>
      <c r="AI60" s="54">
        <v>0</v>
      </c>
      <c r="AJ60" s="54">
        <v>4</v>
      </c>
      <c r="AK60" s="225">
        <v>3.36244266711758</v>
      </c>
      <c r="AL60" s="54">
        <v>3</v>
      </c>
      <c r="AM60" s="54">
        <v>3</v>
      </c>
      <c r="AN60" s="54">
        <v>3</v>
      </c>
      <c r="AO60" s="54" t="s">
        <v>1027</v>
      </c>
    </row>
    <row r="61" spans="1:41" s="53" customFormat="1">
      <c r="A61" s="239" t="s">
        <v>848</v>
      </c>
      <c r="B61" s="228" t="s">
        <v>41</v>
      </c>
      <c r="C61" s="229" t="s">
        <v>829</v>
      </c>
      <c r="D61" s="51"/>
      <c r="E61" s="51"/>
      <c r="F61" s="51"/>
      <c r="H61" s="52">
        <v>1</v>
      </c>
      <c r="I61" s="230">
        <v>14</v>
      </c>
      <c r="J61" s="228">
        <v>1</v>
      </c>
      <c r="K61" s="230">
        <v>1</v>
      </c>
      <c r="L61" s="230">
        <v>1</v>
      </c>
      <c r="M61" s="230">
        <v>1</v>
      </c>
      <c r="N61" s="231">
        <v>14.110873007653399</v>
      </c>
      <c r="O61" s="230">
        <v>2</v>
      </c>
      <c r="P61" s="230">
        <v>3</v>
      </c>
      <c r="Q61" s="230">
        <v>1</v>
      </c>
      <c r="R61" s="51" t="s">
        <v>972</v>
      </c>
      <c r="S61" s="53">
        <v>5</v>
      </c>
      <c r="T61" s="230">
        <v>2</v>
      </c>
      <c r="U61" s="230">
        <v>67</v>
      </c>
      <c r="V61" s="230">
        <v>1</v>
      </c>
      <c r="W61" s="230">
        <v>1</v>
      </c>
      <c r="X61" s="230">
        <v>1</v>
      </c>
      <c r="Y61" s="230">
        <v>1</v>
      </c>
      <c r="Z61" s="231">
        <v>9.9273905855818096</v>
      </c>
      <c r="AA61" s="230">
        <v>2</v>
      </c>
      <c r="AB61" s="230">
        <v>3</v>
      </c>
      <c r="AC61" s="230">
        <v>1</v>
      </c>
      <c r="AD61" s="51" t="s">
        <v>908</v>
      </c>
      <c r="AE61" s="230">
        <v>6.5</v>
      </c>
      <c r="AF61" s="51">
        <v>17</v>
      </c>
      <c r="AG61" s="51">
        <v>0</v>
      </c>
      <c r="AH61" s="51">
        <v>1</v>
      </c>
      <c r="AI61" s="51">
        <v>0</v>
      </c>
      <c r="AJ61" s="51">
        <v>2</v>
      </c>
      <c r="AK61" s="224">
        <v>9.6207210447903204</v>
      </c>
      <c r="AL61" s="51">
        <v>2</v>
      </c>
      <c r="AM61" s="51">
        <v>2</v>
      </c>
      <c r="AN61" s="51">
        <v>1</v>
      </c>
      <c r="AO61" s="51" t="s">
        <v>1028</v>
      </c>
    </row>
    <row r="62" spans="1:41" s="53" customFormat="1">
      <c r="A62" s="239" t="s">
        <v>849</v>
      </c>
      <c r="B62" s="228" t="s">
        <v>17</v>
      </c>
      <c r="C62" s="229" t="s">
        <v>829</v>
      </c>
      <c r="D62" s="51"/>
      <c r="E62" s="51"/>
      <c r="F62" s="51"/>
      <c r="H62" s="52">
        <v>1</v>
      </c>
      <c r="I62" s="230">
        <v>22.5</v>
      </c>
      <c r="J62" s="228">
        <v>2</v>
      </c>
      <c r="K62" s="230">
        <v>1</v>
      </c>
      <c r="L62" s="230">
        <v>0</v>
      </c>
      <c r="M62" s="230">
        <v>0</v>
      </c>
      <c r="N62" s="231">
        <v>13.1166357346199</v>
      </c>
      <c r="O62" s="230">
        <v>0</v>
      </c>
      <c r="P62" s="230">
        <v>1</v>
      </c>
      <c r="Q62" s="230">
        <v>0</v>
      </c>
      <c r="R62" s="51" t="s">
        <v>973</v>
      </c>
      <c r="S62" s="53">
        <v>5</v>
      </c>
      <c r="T62" s="230">
        <v>2</v>
      </c>
      <c r="U62" s="230">
        <v>12</v>
      </c>
      <c r="V62" s="230">
        <v>1</v>
      </c>
      <c r="W62" s="230">
        <v>1</v>
      </c>
      <c r="X62" s="230">
        <v>0</v>
      </c>
      <c r="Y62" s="230">
        <v>0</v>
      </c>
      <c r="Z62" s="231">
        <v>8.3495915090125798</v>
      </c>
      <c r="AA62" s="230">
        <v>3</v>
      </c>
      <c r="AB62" s="230">
        <v>2</v>
      </c>
      <c r="AC62" s="230">
        <v>0</v>
      </c>
      <c r="AD62" s="51" t="s">
        <v>909</v>
      </c>
      <c r="AE62" s="230">
        <v>415</v>
      </c>
      <c r="AF62" s="51">
        <v>90</v>
      </c>
      <c r="AG62" s="51">
        <v>2</v>
      </c>
      <c r="AH62" s="51">
        <v>2</v>
      </c>
      <c r="AI62" s="51">
        <v>0</v>
      </c>
      <c r="AJ62" s="51">
        <v>2</v>
      </c>
      <c r="AK62" s="224">
        <v>3.6110453701278402</v>
      </c>
      <c r="AL62" s="51">
        <v>0</v>
      </c>
      <c r="AM62" s="51">
        <v>1</v>
      </c>
      <c r="AN62" s="51">
        <v>0</v>
      </c>
      <c r="AO62" s="51" t="s">
        <v>1029</v>
      </c>
    </row>
    <row r="63" spans="1:41" s="53" customFormat="1">
      <c r="A63" s="239" t="s">
        <v>850</v>
      </c>
      <c r="B63" s="228" t="s">
        <v>17</v>
      </c>
      <c r="C63" s="229" t="s">
        <v>829</v>
      </c>
      <c r="D63" s="51"/>
      <c r="E63" s="51"/>
      <c r="F63" s="51"/>
      <c r="H63" s="52">
        <v>1</v>
      </c>
      <c r="I63" s="230">
        <v>20</v>
      </c>
      <c r="J63" s="228">
        <v>1</v>
      </c>
      <c r="K63" s="230">
        <v>1</v>
      </c>
      <c r="L63" s="230">
        <v>0</v>
      </c>
      <c r="M63" s="230">
        <v>1</v>
      </c>
      <c r="N63" s="231">
        <v>8.1965223990534604</v>
      </c>
      <c r="O63" s="230">
        <v>3</v>
      </c>
      <c r="P63" s="230">
        <v>3</v>
      </c>
      <c r="Q63" s="230">
        <v>2</v>
      </c>
      <c r="R63" s="51" t="s">
        <v>974</v>
      </c>
      <c r="S63" s="53">
        <v>335</v>
      </c>
      <c r="T63" s="230">
        <v>37</v>
      </c>
      <c r="U63" s="230">
        <v>45</v>
      </c>
      <c r="V63" s="230">
        <v>1</v>
      </c>
      <c r="W63" s="230">
        <v>1</v>
      </c>
      <c r="X63" s="230">
        <v>0</v>
      </c>
      <c r="Y63" s="230">
        <v>3</v>
      </c>
      <c r="Z63" s="231">
        <v>8.0337059800074204</v>
      </c>
      <c r="AA63" s="230">
        <v>1</v>
      </c>
      <c r="AB63" s="230">
        <v>1</v>
      </c>
      <c r="AC63" s="230">
        <v>1</v>
      </c>
      <c r="AD63" s="51" t="s">
        <v>910</v>
      </c>
      <c r="AE63" s="230">
        <v>6</v>
      </c>
      <c r="AF63" s="53">
        <v>115</v>
      </c>
      <c r="AG63" s="51">
        <v>2</v>
      </c>
      <c r="AH63" s="51">
        <v>2</v>
      </c>
      <c r="AI63" s="51">
        <v>0</v>
      </c>
      <c r="AJ63" s="53">
        <v>2</v>
      </c>
      <c r="AK63" s="224">
        <v>4.55473149597361</v>
      </c>
      <c r="AL63" s="234">
        <v>3</v>
      </c>
      <c r="AM63" s="51">
        <v>3</v>
      </c>
      <c r="AN63" s="51">
        <v>1</v>
      </c>
      <c r="AO63" s="51" t="s">
        <v>1030</v>
      </c>
    </row>
    <row r="64" spans="1:41" s="95" customFormat="1">
      <c r="A64" s="238" t="s">
        <v>851</v>
      </c>
      <c r="B64" s="232" t="s">
        <v>17</v>
      </c>
      <c r="C64" s="233" t="s">
        <v>833</v>
      </c>
      <c r="D64" s="54"/>
      <c r="E64" s="54"/>
      <c r="F64" s="54"/>
      <c r="H64" s="285">
        <v>0</v>
      </c>
      <c r="I64" s="226">
        <v>10</v>
      </c>
      <c r="J64" s="232">
        <v>1</v>
      </c>
      <c r="K64" s="226">
        <v>0</v>
      </c>
      <c r="L64" s="226">
        <v>0</v>
      </c>
      <c r="M64" s="226">
        <v>0</v>
      </c>
      <c r="N64" s="227">
        <v>2.3630863664974502</v>
      </c>
      <c r="O64" s="226">
        <v>0</v>
      </c>
      <c r="P64" s="226">
        <v>1</v>
      </c>
      <c r="Q64" s="226">
        <v>1</v>
      </c>
      <c r="R64" s="54" t="s">
        <v>975</v>
      </c>
      <c r="S64" s="95">
        <v>12</v>
      </c>
      <c r="T64" s="226">
        <v>7</v>
      </c>
      <c r="U64" s="226">
        <v>13</v>
      </c>
      <c r="V64" s="226">
        <v>1</v>
      </c>
      <c r="W64" s="226">
        <v>1</v>
      </c>
      <c r="X64" s="226">
        <v>0</v>
      </c>
      <c r="Y64" s="226">
        <v>0</v>
      </c>
      <c r="Z64" s="227">
        <v>9.4563218881344699</v>
      </c>
      <c r="AA64" s="226">
        <v>2</v>
      </c>
      <c r="AB64" s="226">
        <v>1</v>
      </c>
      <c r="AC64" s="226">
        <v>1</v>
      </c>
      <c r="AD64" s="54" t="s">
        <v>911</v>
      </c>
      <c r="AE64" s="226">
        <v>12</v>
      </c>
      <c r="AF64" s="54">
        <v>590</v>
      </c>
      <c r="AG64" s="54">
        <v>11</v>
      </c>
      <c r="AH64" s="54">
        <v>9</v>
      </c>
      <c r="AI64" s="54">
        <v>0</v>
      </c>
      <c r="AJ64" s="54">
        <v>4</v>
      </c>
      <c r="AK64" s="225">
        <v>6.5398608774164497</v>
      </c>
      <c r="AL64" s="54">
        <v>3</v>
      </c>
      <c r="AM64" s="54">
        <v>3</v>
      </c>
      <c r="AN64" s="54">
        <v>1</v>
      </c>
      <c r="AO64" s="54" t="s">
        <v>1031</v>
      </c>
    </row>
    <row r="65" spans="1:41" s="95" customFormat="1">
      <c r="A65" s="220" t="s">
        <v>852</v>
      </c>
      <c r="B65" s="232" t="s">
        <v>41</v>
      </c>
      <c r="C65" s="233" t="s">
        <v>833</v>
      </c>
      <c r="D65" s="196"/>
      <c r="E65" s="201"/>
      <c r="F65" s="201"/>
      <c r="H65" s="94">
        <v>0</v>
      </c>
      <c r="I65" s="95">
        <v>9</v>
      </c>
      <c r="J65" s="94">
        <v>1</v>
      </c>
      <c r="K65" s="94">
        <v>1</v>
      </c>
      <c r="L65" s="94">
        <v>0</v>
      </c>
      <c r="M65" s="94">
        <v>0</v>
      </c>
      <c r="N65" s="235">
        <v>7.6225871904230402</v>
      </c>
      <c r="O65" s="95">
        <v>0</v>
      </c>
      <c r="P65" s="191">
        <v>1</v>
      </c>
      <c r="Q65" s="191">
        <v>0</v>
      </c>
      <c r="R65" s="193" t="s">
        <v>976</v>
      </c>
      <c r="S65" s="95">
        <v>3</v>
      </c>
      <c r="T65" s="95">
        <v>2.5</v>
      </c>
      <c r="U65" s="95">
        <v>19</v>
      </c>
      <c r="V65" s="95">
        <v>0</v>
      </c>
      <c r="W65" s="95">
        <v>0</v>
      </c>
      <c r="X65" s="95">
        <v>0</v>
      </c>
      <c r="Y65" s="95">
        <v>1</v>
      </c>
      <c r="Z65" s="193">
        <v>2.64660596950573</v>
      </c>
      <c r="AA65" s="95">
        <v>0</v>
      </c>
      <c r="AB65" s="95">
        <v>2</v>
      </c>
      <c r="AC65" s="95">
        <v>0</v>
      </c>
      <c r="AD65" s="193" t="s">
        <v>912</v>
      </c>
      <c r="AF65" s="95">
        <v>600</v>
      </c>
      <c r="AG65" s="95">
        <v>13</v>
      </c>
      <c r="AH65" s="95">
        <v>10</v>
      </c>
      <c r="AI65" s="95">
        <v>2</v>
      </c>
      <c r="AJ65" s="95">
        <v>5</v>
      </c>
      <c r="AK65" s="225" t="s">
        <v>25</v>
      </c>
      <c r="AL65" s="95">
        <v>5</v>
      </c>
      <c r="AM65" s="95">
        <v>5</v>
      </c>
      <c r="AN65" s="95">
        <v>5</v>
      </c>
      <c r="AO65" s="193" t="s">
        <v>26</v>
      </c>
    </row>
    <row r="66" spans="1:41" s="95" customFormat="1">
      <c r="A66" s="220" t="s">
        <v>853</v>
      </c>
      <c r="B66" s="232" t="s">
        <v>41</v>
      </c>
      <c r="C66" s="233" t="s">
        <v>833</v>
      </c>
      <c r="D66" s="196"/>
      <c r="E66" s="201"/>
      <c r="F66" s="201"/>
      <c r="H66" s="94">
        <v>0</v>
      </c>
      <c r="I66" s="95">
        <v>5</v>
      </c>
      <c r="J66" s="94">
        <v>0</v>
      </c>
      <c r="K66" s="94">
        <v>0</v>
      </c>
      <c r="L66" s="94">
        <v>0</v>
      </c>
      <c r="M66" s="94">
        <v>0</v>
      </c>
      <c r="N66" s="235">
        <v>4.4514598447790199</v>
      </c>
      <c r="O66" s="95">
        <v>0</v>
      </c>
      <c r="P66" s="191">
        <v>1</v>
      </c>
      <c r="Q66" s="191">
        <v>0</v>
      </c>
      <c r="R66" s="193" t="s">
        <v>977</v>
      </c>
      <c r="S66" s="95">
        <v>3.5</v>
      </c>
      <c r="T66" s="95">
        <v>1</v>
      </c>
      <c r="U66" s="95">
        <f>6*60+36</f>
        <v>396</v>
      </c>
      <c r="V66" s="95">
        <v>9</v>
      </c>
      <c r="W66" s="95">
        <v>6</v>
      </c>
      <c r="X66" s="95">
        <v>0</v>
      </c>
      <c r="Y66" s="95">
        <v>5</v>
      </c>
      <c r="Z66" s="193">
        <v>0.58208467463283098</v>
      </c>
      <c r="AA66" s="95">
        <v>3</v>
      </c>
      <c r="AB66" s="95">
        <v>3</v>
      </c>
      <c r="AC66" s="95">
        <v>4</v>
      </c>
      <c r="AD66" s="193" t="s">
        <v>913</v>
      </c>
      <c r="AF66" s="95">
        <f>7*60+6</f>
        <v>426</v>
      </c>
      <c r="AG66" s="95">
        <v>12</v>
      </c>
      <c r="AH66" s="95">
        <v>8</v>
      </c>
      <c r="AI66" s="95">
        <v>0</v>
      </c>
      <c r="AJ66" s="95">
        <v>7</v>
      </c>
      <c r="AK66" s="193">
        <v>3.7419748621144202</v>
      </c>
      <c r="AL66" s="95">
        <v>2</v>
      </c>
      <c r="AM66" s="95">
        <v>3</v>
      </c>
      <c r="AN66" s="95">
        <v>4</v>
      </c>
      <c r="AO66" s="193" t="s">
        <v>1032</v>
      </c>
    </row>
    <row r="67" spans="1:41" s="95" customFormat="1">
      <c r="A67" s="238" t="s">
        <v>854</v>
      </c>
      <c r="B67" s="232" t="s">
        <v>41</v>
      </c>
      <c r="C67" s="233" t="s">
        <v>833</v>
      </c>
      <c r="D67" s="54"/>
      <c r="E67" s="54"/>
      <c r="F67" s="54"/>
      <c r="H67" s="285">
        <v>0</v>
      </c>
      <c r="I67" s="226">
        <v>3</v>
      </c>
      <c r="J67" s="94">
        <v>0</v>
      </c>
      <c r="K67" s="94">
        <v>0</v>
      </c>
      <c r="L67" s="94">
        <v>0</v>
      </c>
      <c r="M67" s="94">
        <v>0</v>
      </c>
      <c r="N67" s="235">
        <v>4.98325219226966</v>
      </c>
      <c r="O67" s="54">
        <v>0</v>
      </c>
      <c r="P67" s="191">
        <v>1</v>
      </c>
      <c r="Q67" s="191">
        <v>0</v>
      </c>
      <c r="R67" s="54" t="s">
        <v>978</v>
      </c>
      <c r="S67" s="95">
        <v>176</v>
      </c>
      <c r="T67" s="226">
        <v>73</v>
      </c>
      <c r="U67" s="54">
        <v>22</v>
      </c>
      <c r="V67" s="54">
        <v>1</v>
      </c>
      <c r="W67" s="54">
        <v>2</v>
      </c>
      <c r="X67" s="54">
        <v>1</v>
      </c>
      <c r="Y67" s="54">
        <v>0</v>
      </c>
      <c r="Z67" s="54">
        <v>12.5440978339693</v>
      </c>
      <c r="AA67" s="54">
        <v>2</v>
      </c>
      <c r="AB67" s="54">
        <v>3</v>
      </c>
      <c r="AC67" s="54">
        <v>4</v>
      </c>
      <c r="AD67" s="54" t="s">
        <v>914</v>
      </c>
      <c r="AE67" s="226"/>
      <c r="AF67" s="54">
        <v>2</v>
      </c>
      <c r="AG67" s="54">
        <v>0</v>
      </c>
      <c r="AH67" s="54">
        <v>0</v>
      </c>
      <c r="AI67" s="54">
        <v>0</v>
      </c>
      <c r="AJ67" s="54">
        <v>0</v>
      </c>
      <c r="AK67" s="225">
        <v>13.828547020157099</v>
      </c>
      <c r="AL67" s="54">
        <v>0</v>
      </c>
      <c r="AM67" s="54">
        <v>1</v>
      </c>
      <c r="AN67" s="54">
        <v>0</v>
      </c>
      <c r="AO67" s="54" t="s">
        <v>1033</v>
      </c>
    </row>
    <row r="68" spans="1:41" s="53" customFormat="1">
      <c r="A68" s="239" t="s">
        <v>855</v>
      </c>
      <c r="B68" s="228" t="s">
        <v>41</v>
      </c>
      <c r="C68" s="229" t="s">
        <v>829</v>
      </c>
      <c r="D68" s="51"/>
      <c r="E68" s="51"/>
      <c r="F68" s="51"/>
      <c r="H68" s="52">
        <v>1</v>
      </c>
      <c r="I68" s="51">
        <v>13</v>
      </c>
      <c r="J68" s="51">
        <v>0</v>
      </c>
      <c r="K68" s="51">
        <v>0</v>
      </c>
      <c r="L68" s="51">
        <v>0</v>
      </c>
      <c r="M68" s="51">
        <v>0</v>
      </c>
      <c r="N68" s="236">
        <v>3.7682596182814301</v>
      </c>
      <c r="O68" s="51">
        <v>0</v>
      </c>
      <c r="P68" s="51">
        <v>1</v>
      </c>
      <c r="Q68" s="230">
        <v>0</v>
      </c>
      <c r="R68" s="51" t="s">
        <v>979</v>
      </c>
      <c r="S68" s="53">
        <f>153-19</f>
        <v>134</v>
      </c>
      <c r="T68" s="51">
        <f>7+3+1+1+4.5+8+1+2+1+2+2+1+1+2+3+1+1+1+5+8+3.5+1+3+1+1+2+6</f>
        <v>73</v>
      </c>
      <c r="U68" s="51">
        <v>600</v>
      </c>
      <c r="V68" s="51">
        <v>8</v>
      </c>
      <c r="W68" s="51">
        <v>9</v>
      </c>
      <c r="X68" s="51">
        <v>2</v>
      </c>
      <c r="Y68" s="51">
        <v>3</v>
      </c>
      <c r="Z68" s="230" t="s">
        <v>25</v>
      </c>
      <c r="AA68" s="230">
        <v>5</v>
      </c>
      <c r="AB68" s="230">
        <v>5</v>
      </c>
      <c r="AC68" s="230">
        <v>5</v>
      </c>
      <c r="AD68" s="51" t="s">
        <v>26</v>
      </c>
      <c r="AE68" s="230"/>
      <c r="AF68" s="51">
        <v>600</v>
      </c>
      <c r="AG68" s="51">
        <v>10</v>
      </c>
      <c r="AH68" s="51">
        <v>12</v>
      </c>
      <c r="AI68" s="51">
        <v>2</v>
      </c>
      <c r="AJ68" s="51">
        <v>4</v>
      </c>
      <c r="AK68" s="224" t="s">
        <v>25</v>
      </c>
      <c r="AL68" s="53">
        <v>5</v>
      </c>
      <c r="AM68" s="53">
        <v>5</v>
      </c>
      <c r="AN68" s="53">
        <v>5</v>
      </c>
      <c r="AO68" s="51" t="s">
        <v>26</v>
      </c>
    </row>
    <row r="69" spans="1:41" s="53" customFormat="1">
      <c r="A69" s="239" t="s">
        <v>856</v>
      </c>
      <c r="B69" s="228" t="s">
        <v>41</v>
      </c>
      <c r="C69" s="229" t="s">
        <v>829</v>
      </c>
      <c r="D69" s="212"/>
      <c r="H69" s="208">
        <v>1</v>
      </c>
      <c r="I69" s="53">
        <v>5</v>
      </c>
      <c r="J69" s="53">
        <v>1</v>
      </c>
      <c r="K69" s="53">
        <v>0</v>
      </c>
      <c r="L69" s="53">
        <v>0</v>
      </c>
      <c r="M69" s="53">
        <v>0</v>
      </c>
      <c r="N69" s="209">
        <v>5.0649994002116001</v>
      </c>
      <c r="O69" s="53">
        <v>1</v>
      </c>
      <c r="P69" s="53">
        <v>1</v>
      </c>
      <c r="Q69" s="53">
        <v>0</v>
      </c>
      <c r="R69" s="209" t="s">
        <v>980</v>
      </c>
      <c r="S69" s="212">
        <f>(9*60+45-13)</f>
        <v>572</v>
      </c>
      <c r="T69" s="53">
        <f>5+12+4+20+20+10+26+20+20+20+41+20+15+3</f>
        <v>236</v>
      </c>
      <c r="U69" s="53">
        <v>600</v>
      </c>
      <c r="V69" s="53">
        <v>8</v>
      </c>
      <c r="W69" s="53">
        <v>11</v>
      </c>
      <c r="X69" s="53">
        <v>2</v>
      </c>
      <c r="Y69" s="53">
        <v>1</v>
      </c>
      <c r="Z69" s="210" t="s">
        <v>25</v>
      </c>
      <c r="AA69" s="230">
        <v>5</v>
      </c>
      <c r="AB69" s="230">
        <v>5</v>
      </c>
      <c r="AC69" s="230">
        <v>5</v>
      </c>
      <c r="AD69" s="209" t="s">
        <v>624</v>
      </c>
      <c r="AF69" s="53">
        <f>7*60+31-7</f>
        <v>444</v>
      </c>
      <c r="AG69" s="53">
        <v>5</v>
      </c>
      <c r="AH69" s="53">
        <v>4</v>
      </c>
      <c r="AI69" s="53">
        <v>2</v>
      </c>
      <c r="AJ69" s="53">
        <v>2</v>
      </c>
      <c r="AK69" s="209">
        <v>2.7880735792615701</v>
      </c>
      <c r="AL69" s="53">
        <v>1</v>
      </c>
      <c r="AM69" s="53">
        <v>1</v>
      </c>
      <c r="AN69" s="53">
        <v>0</v>
      </c>
      <c r="AO69" s="209" t="s">
        <v>1034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5BE2-621D-BF45-B132-3C8526732915}">
  <dimension ref="A1:CL74"/>
  <sheetViews>
    <sheetView workbookViewId="0">
      <selection activeCell="AF6" sqref="AF6"/>
    </sheetView>
  </sheetViews>
  <sheetFormatPr baseColWidth="10" defaultRowHeight="16"/>
  <cols>
    <col min="2" max="2" width="0" hidden="1" customWidth="1"/>
    <col min="3" max="3" width="25.33203125" hidden="1" customWidth="1"/>
    <col min="4" max="31" width="0" hidden="1" customWidth="1"/>
  </cols>
  <sheetData>
    <row r="1" spans="1:90" ht="21">
      <c r="A1" s="40"/>
      <c r="B1" s="176"/>
      <c r="C1" s="176"/>
      <c r="D1" s="40"/>
      <c r="E1" s="40"/>
      <c r="F1" s="40"/>
      <c r="G1" s="40"/>
      <c r="H1" s="40"/>
      <c r="I1" s="165" t="s">
        <v>268</v>
      </c>
      <c r="J1" s="38"/>
      <c r="K1" s="38"/>
      <c r="L1" s="38"/>
      <c r="M1" s="38"/>
      <c r="N1" s="38"/>
      <c r="O1" s="38"/>
      <c r="P1" s="38"/>
      <c r="Q1" s="38"/>
      <c r="R1" s="38"/>
      <c r="S1" s="165"/>
      <c r="T1" s="38"/>
      <c r="U1" s="163" t="s">
        <v>787</v>
      </c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3" t="s">
        <v>786</v>
      </c>
      <c r="AG1" s="164"/>
      <c r="AH1" s="164"/>
      <c r="AI1" s="164"/>
      <c r="AJ1" s="164"/>
      <c r="AK1" s="164"/>
      <c r="AL1" s="164"/>
      <c r="AM1" s="164"/>
      <c r="AN1" s="164"/>
      <c r="AO1" s="164"/>
      <c r="AP1" s="40"/>
      <c r="AQ1" s="40"/>
      <c r="AR1" s="40"/>
      <c r="AS1" s="40"/>
      <c r="AT1" s="166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</row>
    <row r="2" spans="1:90" ht="21">
      <c r="A2" s="40"/>
      <c r="B2" s="176"/>
      <c r="C2" s="176"/>
      <c r="D2" s="40"/>
      <c r="E2" s="40"/>
      <c r="F2" s="40"/>
      <c r="G2" s="40"/>
      <c r="H2" s="40"/>
      <c r="I2" s="61" t="s">
        <v>270</v>
      </c>
      <c r="J2" s="88"/>
      <c r="K2" s="88"/>
      <c r="L2" s="88"/>
      <c r="M2" s="88"/>
      <c r="N2" s="88"/>
      <c r="O2" s="88"/>
      <c r="P2" s="88"/>
      <c r="Q2" s="88"/>
      <c r="R2" s="61"/>
      <c r="S2" s="89"/>
      <c r="T2" s="166"/>
      <c r="U2" s="61" t="s">
        <v>270</v>
      </c>
      <c r="V2" s="88"/>
      <c r="W2" s="88"/>
      <c r="X2" s="88"/>
      <c r="Y2" s="88"/>
      <c r="Z2" s="88"/>
      <c r="AA2" s="88"/>
      <c r="AB2" s="88"/>
      <c r="AC2" s="88"/>
      <c r="AD2" s="61"/>
      <c r="AE2" s="61"/>
      <c r="AF2" s="61" t="s">
        <v>270</v>
      </c>
      <c r="AG2" s="88"/>
      <c r="AH2" s="88"/>
      <c r="AI2" s="88"/>
      <c r="AJ2" s="88"/>
      <c r="AK2" s="88"/>
      <c r="AL2" s="88"/>
      <c r="AM2" s="88"/>
      <c r="AN2" s="88"/>
      <c r="AO2" s="61"/>
      <c r="AP2" s="40"/>
      <c r="AQ2" s="40"/>
      <c r="AR2" s="40"/>
      <c r="AS2" s="40"/>
      <c r="AT2" s="166"/>
      <c r="AU2" s="89"/>
      <c r="AV2" s="89"/>
      <c r="AW2" s="89"/>
      <c r="AX2" s="89"/>
      <c r="AY2" s="89"/>
      <c r="AZ2" s="89"/>
      <c r="BA2" s="89"/>
      <c r="BB2" s="89"/>
      <c r="BC2" s="89"/>
      <c r="BD2" s="166"/>
      <c r="BE2" s="89"/>
      <c r="BF2" s="89"/>
      <c r="BG2" s="89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</row>
    <row r="3" spans="1:90" s="24" customFormat="1">
      <c r="A3" s="167" t="s">
        <v>0</v>
      </c>
      <c r="B3" s="168" t="s">
        <v>592</v>
      </c>
      <c r="C3" s="168" t="s">
        <v>1104</v>
      </c>
      <c r="D3" s="168" t="s">
        <v>3</v>
      </c>
      <c r="E3" s="169" t="s">
        <v>4</v>
      </c>
      <c r="F3" s="169" t="s">
        <v>5</v>
      </c>
      <c r="G3" s="169" t="s">
        <v>584</v>
      </c>
      <c r="H3" s="168" t="s">
        <v>15</v>
      </c>
      <c r="I3" s="168" t="s">
        <v>774</v>
      </c>
      <c r="J3" s="168" t="s">
        <v>775</v>
      </c>
      <c r="K3" s="168" t="s">
        <v>777</v>
      </c>
      <c r="L3" s="168" t="s">
        <v>778</v>
      </c>
      <c r="M3" s="168" t="s">
        <v>779</v>
      </c>
      <c r="N3" s="170" t="s">
        <v>780</v>
      </c>
      <c r="O3" s="171" t="s">
        <v>781</v>
      </c>
      <c r="P3" s="171" t="s">
        <v>782</v>
      </c>
      <c r="Q3" s="171" t="s">
        <v>783</v>
      </c>
      <c r="R3" s="172" t="s">
        <v>272</v>
      </c>
      <c r="S3" s="172" t="s">
        <v>785</v>
      </c>
      <c r="T3" s="172" t="s">
        <v>784</v>
      </c>
      <c r="U3" s="168" t="s">
        <v>774</v>
      </c>
      <c r="V3" s="168" t="s">
        <v>775</v>
      </c>
      <c r="W3" s="168" t="s">
        <v>777</v>
      </c>
      <c r="X3" s="168" t="s">
        <v>778</v>
      </c>
      <c r="Y3" s="168" t="s">
        <v>779</v>
      </c>
      <c r="Z3" s="170" t="s">
        <v>780</v>
      </c>
      <c r="AA3" s="171" t="s">
        <v>781</v>
      </c>
      <c r="AB3" s="171" t="s">
        <v>782</v>
      </c>
      <c r="AC3" s="171" t="s">
        <v>783</v>
      </c>
      <c r="AD3" s="172" t="s">
        <v>272</v>
      </c>
      <c r="AE3" s="172" t="s">
        <v>785</v>
      </c>
      <c r="AF3" s="168" t="s">
        <v>774</v>
      </c>
      <c r="AG3" s="168" t="s">
        <v>775</v>
      </c>
      <c r="AH3" s="168" t="s">
        <v>777</v>
      </c>
      <c r="AI3" s="168" t="s">
        <v>778</v>
      </c>
      <c r="AJ3" s="168" t="s">
        <v>779</v>
      </c>
      <c r="AK3" s="170" t="s">
        <v>780</v>
      </c>
      <c r="AL3" s="171" t="s">
        <v>781</v>
      </c>
      <c r="AM3" s="171" t="s">
        <v>782</v>
      </c>
      <c r="AN3" s="171" t="s">
        <v>783</v>
      </c>
      <c r="AO3" s="172" t="s">
        <v>272</v>
      </c>
    </row>
    <row r="4" spans="1:90">
      <c r="A4" s="242" t="s">
        <v>1039</v>
      </c>
      <c r="B4" s="55" t="s">
        <v>41</v>
      </c>
      <c r="C4" s="55" t="s">
        <v>1036</v>
      </c>
      <c r="D4" s="55">
        <f>F4-E4</f>
        <v>73</v>
      </c>
      <c r="E4" s="243">
        <v>44665</v>
      </c>
      <c r="F4" s="243">
        <v>44738</v>
      </c>
      <c r="H4" s="55">
        <v>0</v>
      </c>
      <c r="I4" s="55">
        <f>43-8</f>
        <v>35</v>
      </c>
      <c r="J4" s="55">
        <v>4</v>
      </c>
      <c r="K4" s="55">
        <v>4</v>
      </c>
      <c r="L4" s="55">
        <v>0</v>
      </c>
      <c r="M4" s="55">
        <v>0</v>
      </c>
      <c r="N4" s="55">
        <v>6.5141310828394303</v>
      </c>
      <c r="O4" s="55">
        <v>0</v>
      </c>
      <c r="P4" s="55">
        <v>1</v>
      </c>
      <c r="Q4" s="55">
        <v>1</v>
      </c>
      <c r="R4" s="55">
        <v>-4.30699351817595E-2</v>
      </c>
      <c r="S4" s="55">
        <v>20</v>
      </c>
      <c r="T4" s="55">
        <v>13</v>
      </c>
      <c r="U4" s="260">
        <v>600</v>
      </c>
      <c r="V4" s="260">
        <v>17</v>
      </c>
      <c r="W4" s="260">
        <v>16</v>
      </c>
      <c r="X4" s="260">
        <v>6</v>
      </c>
      <c r="Y4" s="260">
        <v>5</v>
      </c>
      <c r="Z4" s="56" t="s">
        <v>25</v>
      </c>
      <c r="AA4" s="56">
        <v>5</v>
      </c>
      <c r="AB4" s="56">
        <v>5</v>
      </c>
      <c r="AC4" s="56">
        <v>5</v>
      </c>
      <c r="AD4" s="55" t="s">
        <v>26</v>
      </c>
      <c r="AE4" s="278" t="s">
        <v>25</v>
      </c>
      <c r="AF4" s="55">
        <v>600</v>
      </c>
      <c r="AG4" s="55">
        <v>16</v>
      </c>
      <c r="AH4" s="55">
        <v>17</v>
      </c>
      <c r="AI4" s="55">
        <v>1</v>
      </c>
      <c r="AJ4" s="55">
        <v>12</v>
      </c>
      <c r="AK4" s="55" t="s">
        <v>25</v>
      </c>
      <c r="AL4" s="55">
        <v>5</v>
      </c>
      <c r="AM4" s="55">
        <v>5</v>
      </c>
      <c r="AN4" s="55">
        <v>5</v>
      </c>
      <c r="AO4" s="55" t="s">
        <v>26</v>
      </c>
    </row>
    <row r="5" spans="1:90">
      <c r="A5" s="9" t="s">
        <v>1040</v>
      </c>
      <c r="B5" s="6" t="s">
        <v>41</v>
      </c>
      <c r="C5" s="6" t="s">
        <v>1038</v>
      </c>
      <c r="D5" s="6">
        <f t="shared" ref="D5:D56" si="0">F5-E5</f>
        <v>69</v>
      </c>
      <c r="E5" s="12">
        <v>44665</v>
      </c>
      <c r="F5" s="12">
        <v>44734</v>
      </c>
      <c r="H5" s="6">
        <v>3</v>
      </c>
      <c r="I5" s="6">
        <v>77</v>
      </c>
      <c r="J5" s="6">
        <v>1</v>
      </c>
      <c r="K5" s="6">
        <v>1</v>
      </c>
      <c r="L5" s="6">
        <v>0</v>
      </c>
      <c r="M5" s="6">
        <v>1</v>
      </c>
      <c r="N5" s="6">
        <v>6.7644396532684796</v>
      </c>
      <c r="O5" s="6">
        <v>0</v>
      </c>
      <c r="P5" s="6">
        <v>1</v>
      </c>
      <c r="Q5" s="6">
        <v>1</v>
      </c>
      <c r="R5" s="6">
        <v>-0.204769219736473</v>
      </c>
      <c r="S5" s="10">
        <v>6</v>
      </c>
      <c r="T5" s="6">
        <v>3</v>
      </c>
      <c r="U5" s="258">
        <v>217</v>
      </c>
      <c r="V5" s="259">
        <v>8</v>
      </c>
      <c r="W5" s="259">
        <v>8</v>
      </c>
      <c r="X5" s="259">
        <v>1</v>
      </c>
      <c r="Y5" s="259">
        <v>2</v>
      </c>
      <c r="Z5" s="158">
        <v>6.6474204386993199</v>
      </c>
      <c r="AA5" s="261">
        <v>3</v>
      </c>
      <c r="AB5" s="261">
        <v>3</v>
      </c>
      <c r="AC5" s="261">
        <v>2</v>
      </c>
      <c r="AD5" s="6" t="s">
        <v>1105</v>
      </c>
      <c r="AE5" s="6">
        <v>383</v>
      </c>
      <c r="AF5" s="6">
        <v>600</v>
      </c>
      <c r="AG5" s="6">
        <v>13</v>
      </c>
      <c r="AH5" s="6">
        <v>17</v>
      </c>
      <c r="AI5" s="6">
        <v>4</v>
      </c>
      <c r="AJ5" s="6">
        <v>1</v>
      </c>
      <c r="AK5" s="6"/>
      <c r="AL5" s="6">
        <v>5</v>
      </c>
      <c r="AM5" s="6">
        <v>5</v>
      </c>
      <c r="AN5" s="6">
        <v>5</v>
      </c>
      <c r="AO5" s="6" t="s">
        <v>624</v>
      </c>
    </row>
    <row r="6" spans="1:90">
      <c r="A6" s="9" t="s">
        <v>1041</v>
      </c>
      <c r="B6" s="6" t="s">
        <v>41</v>
      </c>
      <c r="C6" s="6" t="s">
        <v>1038</v>
      </c>
      <c r="D6" s="6">
        <f t="shared" si="0"/>
        <v>69</v>
      </c>
      <c r="E6" s="12">
        <v>44665</v>
      </c>
      <c r="F6" s="12">
        <v>44734</v>
      </c>
      <c r="H6" s="6">
        <v>3</v>
      </c>
      <c r="I6" s="6">
        <v>15</v>
      </c>
      <c r="J6" s="6">
        <v>1</v>
      </c>
      <c r="K6" s="6">
        <v>0</v>
      </c>
      <c r="L6" s="6">
        <v>0</v>
      </c>
      <c r="M6" s="6">
        <v>0</v>
      </c>
      <c r="N6" s="6">
        <v>10.1642866629232</v>
      </c>
      <c r="O6" s="6">
        <v>0</v>
      </c>
      <c r="P6" s="6">
        <v>1</v>
      </c>
      <c r="Q6" s="6">
        <v>0</v>
      </c>
      <c r="R6" s="6">
        <v>-0.46372887742295099</v>
      </c>
      <c r="S6" s="10">
        <v>155</v>
      </c>
      <c r="T6" s="6">
        <v>40</v>
      </c>
      <c r="U6" s="258">
        <v>3</v>
      </c>
      <c r="V6" s="259">
        <v>0</v>
      </c>
      <c r="W6" s="259">
        <v>0</v>
      </c>
      <c r="X6" s="259">
        <v>0</v>
      </c>
      <c r="Y6" s="259">
        <v>0</v>
      </c>
      <c r="Z6" s="152">
        <v>15.3056857706825</v>
      </c>
      <c r="AA6" s="261">
        <v>0</v>
      </c>
      <c r="AB6" s="261">
        <v>1</v>
      </c>
      <c r="AC6" s="261">
        <v>1</v>
      </c>
      <c r="AD6" s="6" t="s">
        <v>1106</v>
      </c>
      <c r="AE6" s="6">
        <v>597</v>
      </c>
      <c r="AF6" s="6">
        <v>165</v>
      </c>
      <c r="AG6" s="6"/>
      <c r="AH6" s="6"/>
      <c r="AI6" s="6"/>
      <c r="AJ6" s="6"/>
      <c r="AK6" s="6"/>
      <c r="AL6" s="6"/>
      <c r="AM6" s="6"/>
      <c r="AN6" s="6"/>
      <c r="AO6" s="6" t="s">
        <v>25</v>
      </c>
    </row>
    <row r="7" spans="1:90">
      <c r="A7" s="242" t="s">
        <v>1042</v>
      </c>
      <c r="B7" s="55" t="s">
        <v>17</v>
      </c>
      <c r="C7" s="55" t="s">
        <v>1036</v>
      </c>
      <c r="D7" s="55">
        <f t="shared" si="0"/>
        <v>69</v>
      </c>
      <c r="E7" s="243">
        <v>44665</v>
      </c>
      <c r="F7" s="243">
        <v>44734</v>
      </c>
      <c r="H7" s="55">
        <v>0</v>
      </c>
      <c r="I7" s="55">
        <v>4</v>
      </c>
      <c r="J7" s="55">
        <v>0</v>
      </c>
      <c r="K7" s="55">
        <v>0</v>
      </c>
      <c r="L7" s="55">
        <v>0</v>
      </c>
      <c r="M7" s="55">
        <v>0</v>
      </c>
      <c r="N7" s="55">
        <v>13.644944404516499</v>
      </c>
      <c r="O7" s="55">
        <v>0</v>
      </c>
      <c r="P7" s="55">
        <v>1</v>
      </c>
      <c r="Q7" s="55">
        <v>1</v>
      </c>
      <c r="R7" s="55">
        <v>-0.64890243443142703</v>
      </c>
      <c r="S7" s="55">
        <v>15</v>
      </c>
      <c r="T7" s="55">
        <v>2</v>
      </c>
      <c r="U7" s="260">
        <v>328</v>
      </c>
      <c r="V7" s="260">
        <v>6</v>
      </c>
      <c r="W7" s="260">
        <v>7</v>
      </c>
      <c r="X7" s="260">
        <v>1</v>
      </c>
      <c r="Y7" s="260">
        <v>1</v>
      </c>
      <c r="Z7" s="56">
        <v>6.2573202150812</v>
      </c>
      <c r="AA7" s="262">
        <v>3</v>
      </c>
      <c r="AB7" s="262">
        <v>2</v>
      </c>
      <c r="AC7" s="262">
        <v>1</v>
      </c>
      <c r="AD7" s="55" t="s">
        <v>1107</v>
      </c>
      <c r="AE7" s="55">
        <v>70</v>
      </c>
      <c r="AF7" s="278">
        <v>600</v>
      </c>
      <c r="AG7" s="55">
        <v>12</v>
      </c>
      <c r="AH7" s="55">
        <v>17</v>
      </c>
      <c r="AI7" s="55">
        <v>8</v>
      </c>
      <c r="AJ7" s="55">
        <v>0</v>
      </c>
      <c r="AK7" s="55" t="s">
        <v>25</v>
      </c>
      <c r="AL7" s="55">
        <v>5</v>
      </c>
      <c r="AM7" s="55">
        <v>5</v>
      </c>
      <c r="AN7" s="55">
        <v>5</v>
      </c>
      <c r="AO7" s="55" t="s">
        <v>173</v>
      </c>
    </row>
    <row r="8" spans="1:90">
      <c r="A8" s="9" t="s">
        <v>1043</v>
      </c>
      <c r="B8" s="6" t="s">
        <v>17</v>
      </c>
      <c r="C8" s="6" t="s">
        <v>1038</v>
      </c>
      <c r="D8" s="6">
        <f t="shared" si="0"/>
        <v>73</v>
      </c>
      <c r="E8" s="188">
        <v>44665</v>
      </c>
      <c r="F8" s="12">
        <v>44738</v>
      </c>
      <c r="H8" s="6">
        <v>3</v>
      </c>
      <c r="I8" s="6">
        <v>8</v>
      </c>
      <c r="J8" s="6">
        <v>0</v>
      </c>
      <c r="K8" s="6">
        <v>0</v>
      </c>
      <c r="L8" s="6">
        <v>0</v>
      </c>
      <c r="M8" s="6">
        <v>0</v>
      </c>
      <c r="N8" s="6">
        <v>6.5391632104353601</v>
      </c>
      <c r="O8" s="6">
        <v>0</v>
      </c>
      <c r="P8" s="6">
        <v>1</v>
      </c>
      <c r="Q8" s="6">
        <v>0</v>
      </c>
      <c r="R8" s="6">
        <v>-0.53926233415186398</v>
      </c>
      <c r="S8" s="10">
        <v>2</v>
      </c>
      <c r="T8" s="6">
        <v>0.5</v>
      </c>
      <c r="U8" s="258">
        <v>600</v>
      </c>
      <c r="V8" s="259">
        <v>12</v>
      </c>
      <c r="W8" s="259">
        <v>13</v>
      </c>
      <c r="X8" s="259">
        <v>1</v>
      </c>
      <c r="Y8" s="259">
        <v>6</v>
      </c>
      <c r="Z8" s="158" t="s">
        <v>25</v>
      </c>
      <c r="AA8" s="261">
        <v>5</v>
      </c>
      <c r="AB8" s="261">
        <v>5</v>
      </c>
      <c r="AC8" s="261">
        <v>5</v>
      </c>
      <c r="AD8" s="6" t="s">
        <v>26</v>
      </c>
      <c r="AE8" s="6" t="s">
        <v>25</v>
      </c>
      <c r="AF8" s="6">
        <v>74</v>
      </c>
      <c r="AG8" s="6"/>
      <c r="AH8" s="6"/>
      <c r="AI8" s="6"/>
      <c r="AJ8" s="6"/>
      <c r="AK8" s="6"/>
      <c r="AL8" s="6"/>
      <c r="AM8" s="6"/>
      <c r="AN8" s="6"/>
      <c r="AO8" s="6" t="s">
        <v>25</v>
      </c>
    </row>
    <row r="9" spans="1:90">
      <c r="A9" s="9" t="s">
        <v>1044</v>
      </c>
      <c r="B9" s="6" t="s">
        <v>17</v>
      </c>
      <c r="C9" s="6" t="s">
        <v>1038</v>
      </c>
      <c r="D9" s="6">
        <f t="shared" si="0"/>
        <v>73</v>
      </c>
      <c r="E9" s="188">
        <v>44665</v>
      </c>
      <c r="F9" s="12">
        <v>44738</v>
      </c>
      <c r="H9" s="6">
        <v>3</v>
      </c>
      <c r="I9" s="6">
        <v>3</v>
      </c>
      <c r="J9" s="6">
        <v>0</v>
      </c>
      <c r="K9" s="6">
        <v>0</v>
      </c>
      <c r="L9" s="6">
        <v>0</v>
      </c>
      <c r="M9" s="6">
        <v>0</v>
      </c>
      <c r="N9" s="6">
        <v>4.7563253175507798</v>
      </c>
      <c r="O9" s="6">
        <v>0</v>
      </c>
      <c r="P9" s="6">
        <v>1</v>
      </c>
      <c r="Q9" s="6">
        <v>0</v>
      </c>
      <c r="R9" s="6">
        <v>-0.515498669719892</v>
      </c>
      <c r="S9" s="10">
        <v>150</v>
      </c>
      <c r="T9" s="6">
        <v>16</v>
      </c>
      <c r="U9" s="258">
        <v>1</v>
      </c>
      <c r="V9" s="259">
        <v>0</v>
      </c>
      <c r="W9" s="259">
        <v>0</v>
      </c>
      <c r="X9" s="259">
        <v>0</v>
      </c>
      <c r="Y9" s="259">
        <v>0</v>
      </c>
      <c r="Z9" s="152">
        <v>19.878517346703902</v>
      </c>
      <c r="AA9" s="261">
        <v>0</v>
      </c>
      <c r="AB9" s="261">
        <v>1</v>
      </c>
      <c r="AC9" s="261">
        <v>1</v>
      </c>
      <c r="AD9" s="6" t="s">
        <v>1108</v>
      </c>
      <c r="AE9" s="6">
        <v>91</v>
      </c>
      <c r="AF9" s="6">
        <v>9</v>
      </c>
      <c r="AG9" s="6"/>
      <c r="AH9" s="6"/>
      <c r="AI9" s="6"/>
      <c r="AJ9" s="6"/>
      <c r="AK9" s="6"/>
      <c r="AL9" s="6"/>
      <c r="AM9" s="6"/>
      <c r="AN9" s="6"/>
      <c r="AO9" s="6" t="s">
        <v>25</v>
      </c>
    </row>
    <row r="10" spans="1:90">
      <c r="A10" s="9" t="s">
        <v>1045</v>
      </c>
      <c r="B10" s="6" t="s">
        <v>17</v>
      </c>
      <c r="C10" s="6" t="s">
        <v>1038</v>
      </c>
      <c r="D10" s="6">
        <f t="shared" si="0"/>
        <v>73</v>
      </c>
      <c r="E10" s="188">
        <v>44665</v>
      </c>
      <c r="F10" s="12">
        <v>44738</v>
      </c>
      <c r="H10" s="6">
        <v>3</v>
      </c>
      <c r="I10" s="6">
        <v>4</v>
      </c>
      <c r="J10" s="6">
        <v>0</v>
      </c>
      <c r="K10" s="6">
        <v>0</v>
      </c>
      <c r="L10" s="6">
        <v>0</v>
      </c>
      <c r="M10" s="6">
        <v>0</v>
      </c>
      <c r="N10" s="6">
        <v>7.2276788119852604</v>
      </c>
      <c r="O10" s="6">
        <v>0</v>
      </c>
      <c r="P10" s="6">
        <v>1</v>
      </c>
      <c r="Q10" s="6">
        <v>0</v>
      </c>
      <c r="R10" s="6">
        <v>-0.54979456082246503</v>
      </c>
      <c r="S10" s="10">
        <v>2</v>
      </c>
      <c r="T10" s="6">
        <v>0.5</v>
      </c>
      <c r="U10" s="258">
        <v>308</v>
      </c>
      <c r="V10" s="259">
        <v>7</v>
      </c>
      <c r="W10" s="259">
        <v>7</v>
      </c>
      <c r="X10" s="259">
        <v>0</v>
      </c>
      <c r="Y10" s="259">
        <v>5</v>
      </c>
      <c r="Z10" s="158">
        <v>3.2447408659726902</v>
      </c>
      <c r="AA10" s="261">
        <v>3</v>
      </c>
      <c r="AB10" s="261">
        <v>3</v>
      </c>
      <c r="AC10" s="261">
        <v>2</v>
      </c>
      <c r="AD10" s="6" t="s">
        <v>1109</v>
      </c>
      <c r="AE10" s="6">
        <v>5</v>
      </c>
      <c r="AF10" s="6">
        <v>66</v>
      </c>
      <c r="AG10" s="6"/>
      <c r="AH10" s="6"/>
      <c r="AI10" s="6"/>
      <c r="AJ10" s="6"/>
      <c r="AK10" s="6"/>
      <c r="AL10" s="6"/>
      <c r="AM10" s="6"/>
      <c r="AN10" s="6"/>
      <c r="AO10" s="6" t="s">
        <v>25</v>
      </c>
    </row>
    <row r="11" spans="1:90">
      <c r="A11" s="13" t="s">
        <v>1046</v>
      </c>
      <c r="B11" s="14" t="s">
        <v>41</v>
      </c>
      <c r="C11" s="14" t="s">
        <v>1036</v>
      </c>
      <c r="D11" s="14">
        <f t="shared" si="0"/>
        <v>69</v>
      </c>
      <c r="E11" s="16">
        <v>44665</v>
      </c>
      <c r="F11" s="16">
        <v>44734</v>
      </c>
      <c r="H11" s="14">
        <v>0</v>
      </c>
      <c r="I11" s="14">
        <v>170</v>
      </c>
      <c r="J11" s="14">
        <v>1</v>
      </c>
      <c r="K11" s="14">
        <v>1</v>
      </c>
      <c r="L11" s="14">
        <v>0</v>
      </c>
      <c r="M11" s="14">
        <v>2</v>
      </c>
      <c r="N11" s="14">
        <v>5.03469450345378</v>
      </c>
      <c r="O11" s="14">
        <v>0</v>
      </c>
      <c r="P11" s="14">
        <v>1</v>
      </c>
      <c r="Q11" s="14">
        <v>0</v>
      </c>
      <c r="R11" s="14">
        <v>-6.8129520182170999E-2</v>
      </c>
      <c r="S11" s="14">
        <v>38</v>
      </c>
      <c r="T11" s="14">
        <v>36</v>
      </c>
      <c r="U11" s="256">
        <v>40</v>
      </c>
      <c r="V11" s="257">
        <v>3</v>
      </c>
      <c r="W11" s="257">
        <v>3</v>
      </c>
      <c r="X11" s="257">
        <v>0</v>
      </c>
      <c r="Y11" s="257">
        <v>0</v>
      </c>
      <c r="Z11" s="147">
        <v>15.325885258121099</v>
      </c>
      <c r="AA11" s="151">
        <v>0</v>
      </c>
      <c r="AB11" s="151">
        <v>1</v>
      </c>
      <c r="AC11" s="151">
        <v>1</v>
      </c>
      <c r="AD11" s="14" t="s">
        <v>1110</v>
      </c>
      <c r="AE11" s="151">
        <v>1</v>
      </c>
      <c r="AF11" s="14">
        <v>10</v>
      </c>
      <c r="AG11" s="14">
        <v>1</v>
      </c>
      <c r="AH11" s="14">
        <v>1</v>
      </c>
      <c r="AI11" s="14">
        <v>1</v>
      </c>
      <c r="AJ11" s="14">
        <v>0</v>
      </c>
      <c r="AK11" s="14" t="s">
        <v>1167</v>
      </c>
      <c r="AL11" s="14">
        <v>0</v>
      </c>
      <c r="AM11" s="14">
        <v>2</v>
      </c>
      <c r="AN11" s="14">
        <v>0</v>
      </c>
      <c r="AO11" s="14" t="s">
        <v>1196</v>
      </c>
    </row>
    <row r="12" spans="1:90">
      <c r="A12" s="13" t="s">
        <v>1047</v>
      </c>
      <c r="B12" s="14" t="s">
        <v>17</v>
      </c>
      <c r="C12" s="14" t="s">
        <v>1036</v>
      </c>
      <c r="D12" s="14">
        <f t="shared" si="0"/>
        <v>73</v>
      </c>
      <c r="E12" s="244">
        <v>44665</v>
      </c>
      <c r="F12" s="16">
        <v>44738</v>
      </c>
      <c r="H12" s="14">
        <v>0</v>
      </c>
      <c r="I12" s="14">
        <v>14</v>
      </c>
      <c r="J12" s="14">
        <v>0</v>
      </c>
      <c r="K12" s="14">
        <v>0</v>
      </c>
      <c r="L12" s="14">
        <v>0</v>
      </c>
      <c r="M12" s="14">
        <v>1</v>
      </c>
      <c r="N12" s="14">
        <v>6.6683716762203504</v>
      </c>
      <c r="O12" s="14">
        <v>2</v>
      </c>
      <c r="P12" s="14">
        <v>3</v>
      </c>
      <c r="Q12" s="14">
        <v>1</v>
      </c>
      <c r="R12" s="14">
        <v>-0.40076669402835702</v>
      </c>
      <c r="S12" s="14">
        <f>9*60-10</f>
        <v>530</v>
      </c>
      <c r="T12" s="14">
        <v>52</v>
      </c>
      <c r="U12" s="256">
        <v>189</v>
      </c>
      <c r="V12" s="257">
        <v>2</v>
      </c>
      <c r="W12" s="257">
        <v>2</v>
      </c>
      <c r="X12" s="257">
        <v>0</v>
      </c>
      <c r="Y12" s="257">
        <v>0</v>
      </c>
      <c r="Z12" s="151">
        <v>7.1697381782151304</v>
      </c>
      <c r="AA12" s="263">
        <v>2</v>
      </c>
      <c r="AB12" s="263">
        <v>3</v>
      </c>
      <c r="AC12" s="263">
        <v>2</v>
      </c>
      <c r="AD12" s="14" t="s">
        <v>1111</v>
      </c>
      <c r="AE12" s="83">
        <v>5</v>
      </c>
      <c r="AF12" s="14">
        <v>600</v>
      </c>
      <c r="AG12" s="14">
        <v>11</v>
      </c>
      <c r="AH12" s="14">
        <v>14</v>
      </c>
      <c r="AI12" s="14">
        <v>6</v>
      </c>
      <c r="AJ12" s="14">
        <v>7</v>
      </c>
      <c r="AK12" s="14" t="s">
        <v>25</v>
      </c>
      <c r="AL12" s="14">
        <v>5</v>
      </c>
      <c r="AM12" s="14">
        <v>5</v>
      </c>
      <c r="AN12" s="14">
        <v>5</v>
      </c>
      <c r="AO12" s="14" t="s">
        <v>26</v>
      </c>
    </row>
    <row r="13" spans="1:90">
      <c r="A13" s="245" t="s">
        <v>1048</v>
      </c>
      <c r="B13" s="246" t="s">
        <v>17</v>
      </c>
      <c r="C13" s="56" t="s">
        <v>1037</v>
      </c>
      <c r="D13" s="55">
        <f t="shared" si="0"/>
        <v>56</v>
      </c>
      <c r="E13" s="247">
        <v>45629</v>
      </c>
      <c r="F13" s="247">
        <v>45685</v>
      </c>
      <c r="H13" s="56">
        <v>0</v>
      </c>
      <c r="I13" s="55">
        <v>4</v>
      </c>
      <c r="J13" s="55">
        <v>0</v>
      </c>
      <c r="K13" s="55">
        <v>0</v>
      </c>
      <c r="L13" s="55">
        <v>0</v>
      </c>
      <c r="M13" s="55">
        <v>0</v>
      </c>
      <c r="N13" s="55">
        <v>9.8360146971976494</v>
      </c>
      <c r="O13" s="55">
        <v>0</v>
      </c>
      <c r="P13" s="55">
        <v>1</v>
      </c>
      <c r="Q13" s="55">
        <v>1</v>
      </c>
      <c r="R13" s="55">
        <v>-0.595692408710221</v>
      </c>
      <c r="S13" s="56">
        <v>17.5</v>
      </c>
      <c r="T13" s="55">
        <v>14</v>
      </c>
      <c r="U13" s="264">
        <f>3*60+40</f>
        <v>220</v>
      </c>
      <c r="V13" s="264">
        <v>5</v>
      </c>
      <c r="W13" s="264">
        <v>5</v>
      </c>
      <c r="X13" s="264">
        <v>0</v>
      </c>
      <c r="Y13" s="264">
        <v>3</v>
      </c>
      <c r="Z13" s="56">
        <v>5.7146332597957104</v>
      </c>
      <c r="AA13" s="265">
        <v>3</v>
      </c>
      <c r="AB13" s="265">
        <v>3</v>
      </c>
      <c r="AC13" s="265">
        <v>1</v>
      </c>
      <c r="AD13" s="55" t="s">
        <v>1112</v>
      </c>
      <c r="AE13" s="56">
        <v>5</v>
      </c>
      <c r="AF13" s="55">
        <v>600</v>
      </c>
      <c r="AG13" s="55">
        <v>7</v>
      </c>
      <c r="AH13" s="55">
        <v>10</v>
      </c>
      <c r="AI13" s="55">
        <v>0</v>
      </c>
      <c r="AJ13" s="55">
        <v>7</v>
      </c>
      <c r="AK13" s="55" t="s">
        <v>25</v>
      </c>
      <c r="AL13" s="55">
        <v>5</v>
      </c>
      <c r="AM13" s="55">
        <v>5</v>
      </c>
      <c r="AN13" s="55">
        <v>5</v>
      </c>
      <c r="AO13" s="55" t="s">
        <v>42</v>
      </c>
    </row>
    <row r="14" spans="1:90">
      <c r="A14" s="42" t="s">
        <v>1049</v>
      </c>
      <c r="B14" s="248" t="s">
        <v>17</v>
      </c>
      <c r="C14" s="248" t="s">
        <v>1050</v>
      </c>
      <c r="D14" s="18">
        <f t="shared" si="0"/>
        <v>56</v>
      </c>
      <c r="E14" s="249">
        <v>45629</v>
      </c>
      <c r="F14" s="44">
        <v>45685</v>
      </c>
      <c r="H14" s="250">
        <v>2</v>
      </c>
      <c r="I14" s="18">
        <v>8</v>
      </c>
      <c r="J14" s="18">
        <v>0</v>
      </c>
      <c r="K14" s="18">
        <v>0</v>
      </c>
      <c r="L14" s="18">
        <v>0</v>
      </c>
      <c r="M14" s="18">
        <v>0</v>
      </c>
      <c r="N14" s="18">
        <v>7.0544530129007903</v>
      </c>
      <c r="O14" s="18">
        <v>1</v>
      </c>
      <c r="P14" s="18">
        <v>2</v>
      </c>
      <c r="Q14" s="18">
        <v>1</v>
      </c>
      <c r="R14" s="18">
        <v>-0.52261073714324702</v>
      </c>
      <c r="S14" s="43">
        <v>59</v>
      </c>
      <c r="T14" s="20">
        <f>2+3+8+1+2+2+7+5</f>
        <v>30</v>
      </c>
      <c r="U14" s="266">
        <f>100</f>
        <v>100</v>
      </c>
      <c r="V14" s="267">
        <v>3</v>
      </c>
      <c r="W14" s="266">
        <v>4</v>
      </c>
      <c r="X14" s="266">
        <v>2</v>
      </c>
      <c r="Y14" s="266">
        <v>0</v>
      </c>
      <c r="Z14" s="250">
        <v>3.0324277773266402</v>
      </c>
      <c r="AA14" s="268">
        <v>0</v>
      </c>
      <c r="AB14" s="268">
        <v>2</v>
      </c>
      <c r="AC14" s="268">
        <v>0</v>
      </c>
      <c r="AD14" s="18" t="s">
        <v>1113</v>
      </c>
      <c r="AE14" s="250">
        <v>20</v>
      </c>
      <c r="AF14" s="18"/>
      <c r="AG14" s="18"/>
      <c r="AH14" s="18"/>
      <c r="AI14" s="18"/>
      <c r="AJ14" s="18"/>
      <c r="AK14" s="18"/>
      <c r="AL14" s="18"/>
      <c r="AM14" s="18"/>
      <c r="AN14" s="18"/>
      <c r="AO14" s="18" t="s">
        <v>25</v>
      </c>
    </row>
    <row r="15" spans="1:90">
      <c r="A15" s="42" t="s">
        <v>1051</v>
      </c>
      <c r="B15" s="251" t="s">
        <v>17</v>
      </c>
      <c r="C15" s="248" t="s">
        <v>1050</v>
      </c>
      <c r="D15" s="18">
        <f t="shared" si="0"/>
        <v>56</v>
      </c>
      <c r="E15" s="249">
        <v>45629</v>
      </c>
      <c r="F15" s="44">
        <v>45685</v>
      </c>
      <c r="H15" s="250">
        <v>2</v>
      </c>
      <c r="I15" s="18">
        <v>4</v>
      </c>
      <c r="J15" s="18">
        <v>0</v>
      </c>
      <c r="K15" s="18">
        <v>0</v>
      </c>
      <c r="L15" s="18">
        <v>0</v>
      </c>
      <c r="M15" s="18">
        <v>0</v>
      </c>
      <c r="N15" s="18">
        <v>9.6245926679534506</v>
      </c>
      <c r="O15" s="18">
        <v>0</v>
      </c>
      <c r="P15" s="18">
        <v>1</v>
      </c>
      <c r="Q15" s="18">
        <v>0</v>
      </c>
      <c r="R15" s="18">
        <v>-0.58327899286186802</v>
      </c>
      <c r="S15" s="43">
        <v>127</v>
      </c>
      <c r="T15" s="20">
        <v>3</v>
      </c>
      <c r="U15" s="269">
        <v>45</v>
      </c>
      <c r="V15" s="270">
        <v>1</v>
      </c>
      <c r="W15" s="270">
        <v>1</v>
      </c>
      <c r="X15" s="270">
        <v>0</v>
      </c>
      <c r="Y15" s="270">
        <v>1</v>
      </c>
      <c r="Z15" s="250">
        <v>0.95557469247841498</v>
      </c>
      <c r="AA15" s="250">
        <v>2</v>
      </c>
      <c r="AB15" s="250">
        <v>3</v>
      </c>
      <c r="AC15" s="250">
        <v>3</v>
      </c>
      <c r="AD15" s="18" t="s">
        <v>1114</v>
      </c>
      <c r="AE15" s="250">
        <f>600-45</f>
        <v>555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 t="s">
        <v>25</v>
      </c>
    </row>
    <row r="16" spans="1:90">
      <c r="A16" s="42" t="s">
        <v>1052</v>
      </c>
      <c r="B16" s="251" t="s">
        <v>17</v>
      </c>
      <c r="C16" s="248" t="s">
        <v>1050</v>
      </c>
      <c r="D16" s="18">
        <f t="shared" si="0"/>
        <v>56</v>
      </c>
      <c r="E16" s="249">
        <v>45629</v>
      </c>
      <c r="F16" s="44">
        <v>45685</v>
      </c>
      <c r="H16" s="250">
        <v>2</v>
      </c>
      <c r="I16" s="18">
        <v>4</v>
      </c>
      <c r="J16" s="18">
        <v>0</v>
      </c>
      <c r="K16" s="18">
        <v>0</v>
      </c>
      <c r="L16" s="18">
        <v>0</v>
      </c>
      <c r="M16" s="18">
        <v>0</v>
      </c>
      <c r="N16" s="18">
        <v>11.0140748921289</v>
      </c>
      <c r="O16" s="18">
        <v>0</v>
      </c>
      <c r="P16" s="18">
        <v>2</v>
      </c>
      <c r="Q16" s="18">
        <v>1</v>
      </c>
      <c r="R16" s="18">
        <v>-0.59163870520323802</v>
      </c>
      <c r="S16" s="43">
        <v>25</v>
      </c>
      <c r="T16" s="20">
        <v>15</v>
      </c>
      <c r="U16" s="269">
        <v>1.5</v>
      </c>
      <c r="V16" s="270">
        <v>0</v>
      </c>
      <c r="W16" s="270">
        <v>0</v>
      </c>
      <c r="X16" s="270">
        <v>0</v>
      </c>
      <c r="Y16" s="270">
        <v>0</v>
      </c>
      <c r="Z16" s="271">
        <v>24.531030924525101</v>
      </c>
      <c r="AA16" s="250">
        <v>0</v>
      </c>
      <c r="AB16" s="250">
        <v>1</v>
      </c>
      <c r="AC16" s="250">
        <v>1</v>
      </c>
      <c r="AD16" s="18" t="s">
        <v>1115</v>
      </c>
      <c r="AE16" s="250">
        <v>600</v>
      </c>
      <c r="AF16" s="18"/>
      <c r="AG16" s="18"/>
      <c r="AH16" s="18"/>
      <c r="AI16" s="18"/>
      <c r="AJ16" s="18"/>
      <c r="AK16" s="18"/>
      <c r="AL16" s="18"/>
      <c r="AM16" s="18"/>
      <c r="AN16" s="18"/>
      <c r="AO16" s="18" t="s">
        <v>25</v>
      </c>
    </row>
    <row r="17" spans="1:41">
      <c r="A17" s="42" t="s">
        <v>1053</v>
      </c>
      <c r="B17" s="251" t="s">
        <v>41</v>
      </c>
      <c r="C17" s="248" t="s">
        <v>1050</v>
      </c>
      <c r="D17" s="18">
        <f t="shared" si="0"/>
        <v>56</v>
      </c>
      <c r="E17" s="249">
        <v>45629</v>
      </c>
      <c r="F17" s="44">
        <v>45685</v>
      </c>
      <c r="H17" s="250">
        <v>2</v>
      </c>
      <c r="I17" s="18">
        <v>4</v>
      </c>
      <c r="J17" s="18">
        <v>0</v>
      </c>
      <c r="K17" s="18">
        <v>0</v>
      </c>
      <c r="L17" s="18">
        <v>0</v>
      </c>
      <c r="M17" s="18">
        <v>0</v>
      </c>
      <c r="N17" s="18">
        <v>6.00332861866353</v>
      </c>
      <c r="O17" s="18">
        <v>0</v>
      </c>
      <c r="P17" s="18">
        <v>2</v>
      </c>
      <c r="Q17" s="18">
        <v>0</v>
      </c>
      <c r="R17" s="18">
        <v>-0.51217963976237102</v>
      </c>
      <c r="S17" s="43">
        <v>20</v>
      </c>
      <c r="T17" s="20">
        <v>9</v>
      </c>
      <c r="U17" s="269">
        <v>131</v>
      </c>
      <c r="V17" s="270">
        <v>2</v>
      </c>
      <c r="W17" s="270">
        <v>2</v>
      </c>
      <c r="X17" s="270">
        <v>1</v>
      </c>
      <c r="Y17" s="270">
        <v>0</v>
      </c>
      <c r="Z17" s="250">
        <v>0.89188496589039301</v>
      </c>
      <c r="AA17" s="250">
        <v>4</v>
      </c>
      <c r="AB17" s="250">
        <v>3</v>
      </c>
      <c r="AC17" s="250">
        <v>3</v>
      </c>
      <c r="AD17" s="18" t="s">
        <v>1116</v>
      </c>
      <c r="AE17" s="250">
        <f>327-136</f>
        <v>191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 t="s">
        <v>25</v>
      </c>
    </row>
    <row r="18" spans="1:41">
      <c r="A18" s="245" t="s">
        <v>1054</v>
      </c>
      <c r="B18" s="246" t="s">
        <v>41</v>
      </c>
      <c r="C18" s="56" t="s">
        <v>1037</v>
      </c>
      <c r="D18" s="55">
        <f t="shared" si="0"/>
        <v>56</v>
      </c>
      <c r="E18" s="247">
        <v>45629</v>
      </c>
      <c r="F18" s="247">
        <v>45685</v>
      </c>
      <c r="H18" s="56">
        <v>0</v>
      </c>
      <c r="I18" s="55">
        <v>6</v>
      </c>
      <c r="J18" s="55">
        <v>0</v>
      </c>
      <c r="K18" s="55">
        <v>0</v>
      </c>
      <c r="L18" s="55">
        <v>0</v>
      </c>
      <c r="M18" s="55">
        <v>0</v>
      </c>
      <c r="N18" s="55">
        <v>6.4016526997766698</v>
      </c>
      <c r="O18" s="55">
        <v>0</v>
      </c>
      <c r="P18" s="55">
        <v>1</v>
      </c>
      <c r="Q18" s="55">
        <v>0</v>
      </c>
      <c r="R18" s="55">
        <v>-0.53779823553450301</v>
      </c>
      <c r="S18" s="56">
        <v>21</v>
      </c>
      <c r="T18" s="55">
        <v>17</v>
      </c>
      <c r="U18" s="260">
        <v>354</v>
      </c>
      <c r="V18" s="260">
        <v>15</v>
      </c>
      <c r="W18" s="260">
        <v>17</v>
      </c>
      <c r="X18" s="260">
        <v>0</v>
      </c>
      <c r="Y18" s="260">
        <v>5</v>
      </c>
      <c r="Z18" s="56">
        <v>5.3809072238882401</v>
      </c>
      <c r="AA18" s="56">
        <v>0</v>
      </c>
      <c r="AB18" s="56">
        <v>1</v>
      </c>
      <c r="AC18" s="56">
        <v>0</v>
      </c>
      <c r="AD18" s="55" t="s">
        <v>1117</v>
      </c>
      <c r="AE18" s="56">
        <v>20</v>
      </c>
      <c r="AF18" s="55">
        <v>600</v>
      </c>
      <c r="AG18" s="55">
        <v>20</v>
      </c>
      <c r="AH18" s="55">
        <v>14</v>
      </c>
      <c r="AI18" s="55">
        <v>3</v>
      </c>
      <c r="AJ18" s="55">
        <v>10</v>
      </c>
      <c r="AK18" s="55" t="s">
        <v>25</v>
      </c>
      <c r="AL18" s="55">
        <v>5</v>
      </c>
      <c r="AM18" s="55">
        <v>5</v>
      </c>
      <c r="AN18" s="55">
        <v>5</v>
      </c>
      <c r="AO18" s="55" t="s">
        <v>26</v>
      </c>
    </row>
    <row r="19" spans="1:41">
      <c r="A19" s="42" t="s">
        <v>1055</v>
      </c>
      <c r="B19" s="251" t="s">
        <v>41</v>
      </c>
      <c r="C19" s="251" t="s">
        <v>1050</v>
      </c>
      <c r="D19" s="18">
        <f t="shared" si="0"/>
        <v>56</v>
      </c>
      <c r="E19" s="249">
        <v>45629</v>
      </c>
      <c r="F19" s="44">
        <v>45685</v>
      </c>
      <c r="H19" s="250">
        <v>2</v>
      </c>
      <c r="I19" s="18">
        <v>10</v>
      </c>
      <c r="J19" s="18">
        <v>0</v>
      </c>
      <c r="K19" s="18">
        <v>0</v>
      </c>
      <c r="L19" s="18">
        <v>0</v>
      </c>
      <c r="M19" s="18">
        <v>0</v>
      </c>
      <c r="N19" s="18">
        <v>4.9871428541863496</v>
      </c>
      <c r="O19" s="18">
        <v>0</v>
      </c>
      <c r="P19" s="18">
        <v>1</v>
      </c>
      <c r="Q19" s="18">
        <v>0</v>
      </c>
      <c r="R19" s="18">
        <v>-0.51712400694546001</v>
      </c>
      <c r="S19" s="43">
        <v>600</v>
      </c>
      <c r="T19" s="18">
        <f>4+2+1+10+10+2+3+7+9+3+3+10+4</f>
        <v>68</v>
      </c>
      <c r="U19" s="269">
        <v>8</v>
      </c>
      <c r="V19" s="270">
        <v>0</v>
      </c>
      <c r="W19" s="270">
        <v>0</v>
      </c>
      <c r="X19" s="270">
        <v>0</v>
      </c>
      <c r="Y19" s="270">
        <v>0</v>
      </c>
      <c r="Z19" s="250">
        <v>3.1328640671164099</v>
      </c>
      <c r="AA19" s="250">
        <v>0</v>
      </c>
      <c r="AB19" s="250">
        <v>1</v>
      </c>
      <c r="AC19" s="250">
        <v>1</v>
      </c>
      <c r="AD19" s="18" t="s">
        <v>1118</v>
      </c>
      <c r="AE19" s="250">
        <v>600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 t="s">
        <v>25</v>
      </c>
    </row>
    <row r="20" spans="1:41">
      <c r="A20" s="82" t="s">
        <v>1056</v>
      </c>
      <c r="B20" s="240" t="s">
        <v>41</v>
      </c>
      <c r="C20" s="151" t="s">
        <v>1037</v>
      </c>
      <c r="D20" s="14">
        <f t="shared" si="0"/>
        <v>56</v>
      </c>
      <c r="E20" s="241">
        <v>45629</v>
      </c>
      <c r="F20" s="85">
        <v>45685</v>
      </c>
      <c r="H20" s="151">
        <v>0</v>
      </c>
      <c r="I20" s="14">
        <v>8</v>
      </c>
      <c r="J20" s="14">
        <v>0</v>
      </c>
      <c r="K20" s="14">
        <v>0</v>
      </c>
      <c r="L20" s="14">
        <v>0</v>
      </c>
      <c r="M20" s="14">
        <v>0</v>
      </c>
      <c r="N20" s="14">
        <v>5.0333802357749198</v>
      </c>
      <c r="O20" s="14">
        <v>0</v>
      </c>
      <c r="P20" s="14">
        <v>1</v>
      </c>
      <c r="Q20" s="14">
        <v>0</v>
      </c>
      <c r="R20" s="14">
        <v>-0.51822683153854998</v>
      </c>
      <c r="S20" s="83">
        <v>36</v>
      </c>
      <c r="T20" s="14">
        <v>27</v>
      </c>
      <c r="U20" s="256">
        <f>6*60+41</f>
        <v>401</v>
      </c>
      <c r="V20" s="257">
        <v>3</v>
      </c>
      <c r="W20" s="257">
        <v>6</v>
      </c>
      <c r="X20" s="257">
        <v>1</v>
      </c>
      <c r="Y20" s="257">
        <v>2</v>
      </c>
      <c r="Z20" s="151">
        <v>1.7037516741690399</v>
      </c>
      <c r="AA20" s="151">
        <v>4</v>
      </c>
      <c r="AB20" s="151">
        <v>3</v>
      </c>
      <c r="AC20" s="151">
        <v>3</v>
      </c>
      <c r="AD20" s="14" t="s">
        <v>1119</v>
      </c>
      <c r="AE20" s="151">
        <v>200</v>
      </c>
      <c r="AF20" s="14">
        <v>205</v>
      </c>
      <c r="AG20" s="14">
        <v>2</v>
      </c>
      <c r="AH20" s="14">
        <v>3</v>
      </c>
      <c r="AI20" s="14">
        <v>1</v>
      </c>
      <c r="AJ20" s="14">
        <v>0</v>
      </c>
      <c r="AK20" s="14" t="s">
        <v>1168</v>
      </c>
      <c r="AL20" s="14">
        <v>2</v>
      </c>
      <c r="AM20" s="14">
        <v>3</v>
      </c>
      <c r="AN20" s="14">
        <v>2</v>
      </c>
      <c r="AO20" s="14" t="s">
        <v>1197</v>
      </c>
    </row>
    <row r="21" spans="1:41">
      <c r="A21" s="42" t="s">
        <v>1057</v>
      </c>
      <c r="B21" s="251" t="s">
        <v>17</v>
      </c>
      <c r="C21" s="251" t="s">
        <v>1050</v>
      </c>
      <c r="D21" s="18">
        <f t="shared" si="0"/>
        <v>58</v>
      </c>
      <c r="E21" s="249">
        <v>45629</v>
      </c>
      <c r="F21" s="249">
        <v>45687</v>
      </c>
      <c r="H21" s="250">
        <v>2</v>
      </c>
      <c r="I21" s="18">
        <v>5</v>
      </c>
      <c r="J21" s="18">
        <v>0</v>
      </c>
      <c r="K21" s="18">
        <v>0</v>
      </c>
      <c r="L21" s="18">
        <v>0</v>
      </c>
      <c r="M21" s="18">
        <v>0</v>
      </c>
      <c r="N21" s="18">
        <v>4.7366424385673698</v>
      </c>
      <c r="O21" s="18">
        <v>0</v>
      </c>
      <c r="P21" s="18">
        <v>1</v>
      </c>
      <c r="Q21" s="18">
        <v>0</v>
      </c>
      <c r="R21" s="18">
        <v>-0.51476680649264706</v>
      </c>
      <c r="S21" s="43">
        <v>3</v>
      </c>
      <c r="T21" s="18">
        <v>1</v>
      </c>
      <c r="U21" s="269">
        <f>2*60+58</f>
        <v>178</v>
      </c>
      <c r="V21" s="270">
        <v>7</v>
      </c>
      <c r="W21" s="270">
        <v>6</v>
      </c>
      <c r="X21" s="270">
        <v>1</v>
      </c>
      <c r="Y21" s="270">
        <v>0</v>
      </c>
      <c r="Z21" s="250">
        <v>2.5126095229251599</v>
      </c>
      <c r="AA21" s="250">
        <v>0</v>
      </c>
      <c r="AB21" s="250">
        <v>1</v>
      </c>
      <c r="AC21" s="250">
        <v>0</v>
      </c>
      <c r="AD21" s="18" t="s">
        <v>1120</v>
      </c>
      <c r="AE21" s="250">
        <f>7+8</f>
        <v>15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 t="s">
        <v>25</v>
      </c>
    </row>
    <row r="22" spans="1:41">
      <c r="A22" s="42" t="s">
        <v>1058</v>
      </c>
      <c r="B22" s="251" t="s">
        <v>17</v>
      </c>
      <c r="C22" s="251" t="s">
        <v>1050</v>
      </c>
      <c r="D22" s="18">
        <f t="shared" si="0"/>
        <v>58</v>
      </c>
      <c r="E22" s="249">
        <v>45629</v>
      </c>
      <c r="F22" s="249">
        <v>45687</v>
      </c>
      <c r="H22" s="250">
        <v>2</v>
      </c>
      <c r="I22" s="18">
        <v>32</v>
      </c>
      <c r="J22" s="18">
        <v>1</v>
      </c>
      <c r="K22" s="18">
        <v>1</v>
      </c>
      <c r="L22" s="18">
        <v>0</v>
      </c>
      <c r="M22" s="18">
        <v>0</v>
      </c>
      <c r="N22" s="18">
        <v>5.4314729812747604</v>
      </c>
      <c r="O22" s="18">
        <v>0</v>
      </c>
      <c r="P22" s="18">
        <v>1</v>
      </c>
      <c r="Q22" s="18">
        <v>0</v>
      </c>
      <c r="R22" s="18">
        <v>-0.26873810417268201</v>
      </c>
      <c r="S22" s="43">
        <v>2.5</v>
      </c>
      <c r="T22" s="18">
        <v>0.5</v>
      </c>
      <c r="U22" s="269">
        <v>4</v>
      </c>
      <c r="V22" s="270">
        <v>0</v>
      </c>
      <c r="W22" s="270">
        <v>0</v>
      </c>
      <c r="X22" s="270">
        <v>0</v>
      </c>
      <c r="Y22" s="270">
        <v>0</v>
      </c>
      <c r="Z22" s="250">
        <v>4.8344193796252801</v>
      </c>
      <c r="AA22" s="250">
        <v>1</v>
      </c>
      <c r="AB22" s="250">
        <v>1</v>
      </c>
      <c r="AC22" s="250">
        <v>1</v>
      </c>
      <c r="AD22" s="18" t="s">
        <v>1121</v>
      </c>
      <c r="AE22" s="250">
        <v>0.5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 t="s">
        <v>25</v>
      </c>
    </row>
    <row r="23" spans="1:41">
      <c r="A23" s="245" t="s">
        <v>1059</v>
      </c>
      <c r="B23" s="246" t="s">
        <v>41</v>
      </c>
      <c r="C23" s="56" t="s">
        <v>1037</v>
      </c>
      <c r="D23" s="55">
        <f t="shared" si="0"/>
        <v>58</v>
      </c>
      <c r="E23" s="247">
        <v>45629</v>
      </c>
      <c r="F23" s="247">
        <v>45687</v>
      </c>
      <c r="H23" s="56">
        <v>0</v>
      </c>
      <c r="I23" s="55">
        <v>7</v>
      </c>
      <c r="J23" s="55">
        <v>0</v>
      </c>
      <c r="K23" s="55">
        <v>0</v>
      </c>
      <c r="L23" s="55">
        <v>0</v>
      </c>
      <c r="M23" s="55">
        <v>1</v>
      </c>
      <c r="N23" s="55">
        <v>9.2748889977165199</v>
      </c>
      <c r="O23" s="55">
        <v>0</v>
      </c>
      <c r="P23" s="55">
        <v>1</v>
      </c>
      <c r="Q23" s="55">
        <v>0</v>
      </c>
      <c r="R23" s="55">
        <v>-0.49593847258557</v>
      </c>
      <c r="S23" s="56">
        <v>26</v>
      </c>
      <c r="T23" s="55">
        <v>11</v>
      </c>
      <c r="U23" s="260">
        <v>4</v>
      </c>
      <c r="V23" s="260">
        <v>0</v>
      </c>
      <c r="W23" s="260">
        <v>0</v>
      </c>
      <c r="X23" s="260">
        <v>0</v>
      </c>
      <c r="Y23" s="260">
        <v>0</v>
      </c>
      <c r="Z23" s="56">
        <v>9.3358050806284893</v>
      </c>
      <c r="AA23" s="56">
        <v>0</v>
      </c>
      <c r="AB23" s="56">
        <v>1</v>
      </c>
      <c r="AC23" s="56">
        <v>1</v>
      </c>
      <c r="AD23" s="55" t="s">
        <v>1122</v>
      </c>
      <c r="AE23" s="56">
        <f>123-9</f>
        <v>114</v>
      </c>
      <c r="AF23" s="55">
        <f>7*60+15</f>
        <v>435</v>
      </c>
      <c r="AG23" s="55">
        <v>8</v>
      </c>
      <c r="AH23" s="55">
        <v>12</v>
      </c>
      <c r="AI23" s="55">
        <v>0</v>
      </c>
      <c r="AJ23" s="55">
        <v>2</v>
      </c>
      <c r="AK23" s="55" t="s">
        <v>1169</v>
      </c>
      <c r="AL23" s="55">
        <v>1</v>
      </c>
      <c r="AM23" s="55">
        <v>1</v>
      </c>
      <c r="AN23" s="55">
        <v>1</v>
      </c>
      <c r="AO23" s="55" t="s">
        <v>1198</v>
      </c>
    </row>
    <row r="24" spans="1:41">
      <c r="A24" s="82" t="s">
        <v>1060</v>
      </c>
      <c r="B24" s="240" t="s">
        <v>41</v>
      </c>
      <c r="C24" s="151" t="s">
        <v>1037</v>
      </c>
      <c r="D24" s="14">
        <f t="shared" si="0"/>
        <v>58</v>
      </c>
      <c r="E24" s="241">
        <v>45629</v>
      </c>
      <c r="F24" s="241">
        <v>45687</v>
      </c>
      <c r="H24" s="151">
        <v>0</v>
      </c>
      <c r="I24" s="14">
        <v>9</v>
      </c>
      <c r="J24" s="14">
        <v>0</v>
      </c>
      <c r="K24" s="14">
        <v>0</v>
      </c>
      <c r="L24" s="14">
        <v>0</v>
      </c>
      <c r="M24" s="14">
        <v>0</v>
      </c>
      <c r="N24" s="14">
        <v>7.5774131096730004</v>
      </c>
      <c r="O24" s="14">
        <v>0</v>
      </c>
      <c r="P24" s="14">
        <v>1</v>
      </c>
      <c r="Q24" s="14">
        <v>0</v>
      </c>
      <c r="R24" s="14">
        <v>-0.55353803978998795</v>
      </c>
      <c r="S24" s="83">
        <v>80.5</v>
      </c>
      <c r="T24" s="14">
        <v>16</v>
      </c>
      <c r="U24" s="256">
        <f>13-6</f>
        <v>7</v>
      </c>
      <c r="V24" s="257">
        <v>1</v>
      </c>
      <c r="W24" s="257">
        <v>1</v>
      </c>
      <c r="X24" s="257">
        <v>0</v>
      </c>
      <c r="Y24" s="257">
        <v>0</v>
      </c>
      <c r="Z24" s="151">
        <v>10.8418472159305</v>
      </c>
      <c r="AA24" s="151">
        <v>0</v>
      </c>
      <c r="AB24" s="151">
        <v>2</v>
      </c>
      <c r="AC24" s="151">
        <v>1</v>
      </c>
      <c r="AD24" s="14" t="s">
        <v>1123</v>
      </c>
      <c r="AE24" s="151">
        <v>1</v>
      </c>
      <c r="AF24" s="14">
        <f>3*60+54</f>
        <v>234</v>
      </c>
      <c r="AG24" s="14">
        <v>4</v>
      </c>
      <c r="AH24" s="14">
        <v>3</v>
      </c>
      <c r="AI24" s="14">
        <v>0</v>
      </c>
      <c r="AJ24" s="14">
        <v>2</v>
      </c>
      <c r="AK24" s="14" t="s">
        <v>1170</v>
      </c>
      <c r="AL24" s="14">
        <v>3</v>
      </c>
      <c r="AM24" s="14">
        <v>3</v>
      </c>
      <c r="AN24" s="14">
        <v>3</v>
      </c>
      <c r="AO24" s="14" t="s">
        <v>1199</v>
      </c>
    </row>
    <row r="25" spans="1:41">
      <c r="A25" s="42" t="s">
        <v>1061</v>
      </c>
      <c r="B25" s="251" t="s">
        <v>41</v>
      </c>
      <c r="C25" s="251" t="s">
        <v>1050</v>
      </c>
      <c r="D25" s="18">
        <f t="shared" si="0"/>
        <v>58</v>
      </c>
      <c r="E25" s="249">
        <v>45629</v>
      </c>
      <c r="F25" s="249">
        <v>45687</v>
      </c>
      <c r="H25" s="250">
        <v>2</v>
      </c>
      <c r="I25" s="18">
        <v>14</v>
      </c>
      <c r="J25" s="18">
        <v>1</v>
      </c>
      <c r="K25" s="18">
        <v>0</v>
      </c>
      <c r="L25" s="18">
        <v>0</v>
      </c>
      <c r="M25" s="18">
        <v>0</v>
      </c>
      <c r="N25" s="18">
        <v>2.8668828255983101</v>
      </c>
      <c r="O25" s="18">
        <v>0</v>
      </c>
      <c r="P25" s="18">
        <v>0</v>
      </c>
      <c r="Q25" s="18">
        <v>0</v>
      </c>
      <c r="R25" s="18">
        <v>-0.38252495923132801</v>
      </c>
      <c r="S25" s="43">
        <v>16</v>
      </c>
      <c r="T25" s="18">
        <v>15</v>
      </c>
      <c r="U25" s="269">
        <f>135</f>
        <v>135</v>
      </c>
      <c r="V25" s="270">
        <v>2</v>
      </c>
      <c r="W25" s="270">
        <v>1</v>
      </c>
      <c r="X25" s="270">
        <v>0</v>
      </c>
      <c r="Y25" s="270">
        <v>2</v>
      </c>
      <c r="Z25" s="250">
        <v>2.9335528250357998</v>
      </c>
      <c r="AA25" s="250">
        <v>0</v>
      </c>
      <c r="AB25" s="250">
        <v>1</v>
      </c>
      <c r="AC25" s="250">
        <v>1</v>
      </c>
      <c r="AD25" s="18" t="s">
        <v>1124</v>
      </c>
      <c r="AE25" s="250">
        <v>18</v>
      </c>
      <c r="AF25" s="18"/>
      <c r="AG25" s="18"/>
      <c r="AH25" s="18"/>
      <c r="AI25" s="18"/>
      <c r="AJ25" s="18"/>
      <c r="AK25" s="18"/>
      <c r="AL25" s="18"/>
      <c r="AM25" s="18"/>
      <c r="AN25" s="18"/>
      <c r="AO25" s="18" t="s">
        <v>25</v>
      </c>
    </row>
    <row r="26" spans="1:41">
      <c r="A26" s="42" t="s">
        <v>1062</v>
      </c>
      <c r="B26" s="251" t="s">
        <v>41</v>
      </c>
      <c r="C26" s="251" t="s">
        <v>1050</v>
      </c>
      <c r="D26" s="18">
        <f t="shared" si="0"/>
        <v>58</v>
      </c>
      <c r="E26" s="249">
        <v>45636</v>
      </c>
      <c r="F26" s="249">
        <v>45694</v>
      </c>
      <c r="H26" s="250">
        <v>2</v>
      </c>
      <c r="I26" s="18">
        <v>10</v>
      </c>
      <c r="J26" s="18">
        <v>0</v>
      </c>
      <c r="K26" s="18">
        <v>0</v>
      </c>
      <c r="L26" s="18">
        <v>0</v>
      </c>
      <c r="M26" s="18">
        <v>0</v>
      </c>
      <c r="N26" s="18">
        <v>6.6374694825223397</v>
      </c>
      <c r="O26" s="18">
        <v>0</v>
      </c>
      <c r="P26" s="18">
        <v>1</v>
      </c>
      <c r="Q26" s="18">
        <v>0</v>
      </c>
      <c r="R26" s="18">
        <v>-0.54017875699070605</v>
      </c>
      <c r="S26" s="43">
        <v>600</v>
      </c>
      <c r="T26" s="18">
        <f>2+6+5+2+1+1+2+3+2+2+5+2+8+1+1+2+2+4+1+1+3+1+1+1+1+5</f>
        <v>65</v>
      </c>
      <c r="U26" s="269">
        <v>58</v>
      </c>
      <c r="V26" s="269">
        <v>2</v>
      </c>
      <c r="W26" s="270">
        <v>1</v>
      </c>
      <c r="X26" s="270">
        <v>0</v>
      </c>
      <c r="Y26" s="270">
        <v>0</v>
      </c>
      <c r="Z26" s="250">
        <v>8.0089849645410194</v>
      </c>
      <c r="AA26" s="250">
        <v>1</v>
      </c>
      <c r="AB26" s="250">
        <v>1</v>
      </c>
      <c r="AC26" s="250">
        <v>0</v>
      </c>
      <c r="AD26" s="18" t="s">
        <v>1125</v>
      </c>
      <c r="AE26" s="250">
        <v>64</v>
      </c>
      <c r="AF26" s="18"/>
      <c r="AG26" s="18"/>
      <c r="AH26" s="18"/>
      <c r="AI26" s="18"/>
      <c r="AJ26" s="18"/>
      <c r="AK26" s="18"/>
      <c r="AL26" s="18"/>
      <c r="AM26" s="18"/>
      <c r="AN26" s="18"/>
      <c r="AO26" s="18" t="s">
        <v>25</v>
      </c>
    </row>
    <row r="27" spans="1:41">
      <c r="A27" s="42" t="s">
        <v>1063</v>
      </c>
      <c r="B27" s="251" t="s">
        <v>41</v>
      </c>
      <c r="C27" s="251" t="s">
        <v>1050</v>
      </c>
      <c r="D27" s="18">
        <f t="shared" si="0"/>
        <v>58</v>
      </c>
      <c r="E27" s="249">
        <v>45636</v>
      </c>
      <c r="F27" s="249">
        <v>45694</v>
      </c>
      <c r="H27" s="250">
        <v>2</v>
      </c>
      <c r="I27" s="18">
        <v>5</v>
      </c>
      <c r="J27" s="18">
        <v>0</v>
      </c>
      <c r="K27" s="18">
        <v>0</v>
      </c>
      <c r="L27" s="18">
        <v>0</v>
      </c>
      <c r="M27" s="18">
        <v>0</v>
      </c>
      <c r="N27" s="18">
        <v>5.5878473529539798</v>
      </c>
      <c r="O27" s="18">
        <v>0</v>
      </c>
      <c r="P27" s="18">
        <v>1</v>
      </c>
      <c r="Q27" s="18">
        <v>0</v>
      </c>
      <c r="R27" s="18">
        <v>-0.52665797773203704</v>
      </c>
      <c r="S27" s="43">
        <v>14</v>
      </c>
      <c r="T27" s="18">
        <v>6</v>
      </c>
      <c r="U27" s="269">
        <f>2*60+23</f>
        <v>143</v>
      </c>
      <c r="V27" s="270">
        <v>4</v>
      </c>
      <c r="W27" s="270">
        <v>4</v>
      </c>
      <c r="X27" s="270">
        <v>3</v>
      </c>
      <c r="Y27" s="270">
        <v>2</v>
      </c>
      <c r="Z27" s="250">
        <v>7.9684042071283798</v>
      </c>
      <c r="AA27" s="250">
        <v>0</v>
      </c>
      <c r="AB27" s="250">
        <v>2</v>
      </c>
      <c r="AC27" s="250">
        <v>0</v>
      </c>
      <c r="AD27" s="18" t="s">
        <v>1126</v>
      </c>
      <c r="AE27" s="250">
        <v>5</v>
      </c>
      <c r="AF27" s="18"/>
      <c r="AG27" s="18"/>
      <c r="AH27" s="18"/>
      <c r="AI27" s="18"/>
      <c r="AJ27" s="18"/>
      <c r="AK27" s="18"/>
      <c r="AL27" s="18"/>
      <c r="AM27" s="18"/>
      <c r="AN27" s="18"/>
      <c r="AO27" s="18" t="s">
        <v>25</v>
      </c>
    </row>
    <row r="28" spans="1:41">
      <c r="A28" s="42" t="s">
        <v>1064</v>
      </c>
      <c r="B28" s="251" t="s">
        <v>41</v>
      </c>
      <c r="C28" s="251" t="s">
        <v>1050</v>
      </c>
      <c r="D28" s="18">
        <f t="shared" si="0"/>
        <v>58</v>
      </c>
      <c r="E28" s="249">
        <v>45636</v>
      </c>
      <c r="F28" s="249">
        <v>45694</v>
      </c>
      <c r="H28" s="250">
        <v>2</v>
      </c>
      <c r="I28" s="18">
        <v>4</v>
      </c>
      <c r="J28" s="18">
        <v>0</v>
      </c>
      <c r="K28" s="18">
        <v>0</v>
      </c>
      <c r="L28" s="18">
        <v>0</v>
      </c>
      <c r="M28" s="18">
        <v>0</v>
      </c>
      <c r="N28" s="18">
        <v>8.8995061783023797</v>
      </c>
      <c r="O28" s="18">
        <v>0</v>
      </c>
      <c r="P28" s="18">
        <v>1</v>
      </c>
      <c r="Q28" s="18">
        <v>0</v>
      </c>
      <c r="R28" s="18">
        <v>-0.57314967210010703</v>
      </c>
      <c r="S28" s="43">
        <f>318+82+9</f>
        <v>409</v>
      </c>
      <c r="T28" s="18">
        <f>2+1+1+4+2+6+4+3+6+11+1+8+2+5+3+15+11+5+2</f>
        <v>92</v>
      </c>
      <c r="U28" s="269">
        <v>6</v>
      </c>
      <c r="V28" s="270">
        <v>1</v>
      </c>
      <c r="W28" s="270">
        <v>0</v>
      </c>
      <c r="X28" s="270">
        <v>0</v>
      </c>
      <c r="Y28" s="270">
        <v>0</v>
      </c>
      <c r="Z28" s="250">
        <v>4.1730952735379603</v>
      </c>
      <c r="AA28" s="250">
        <v>0</v>
      </c>
      <c r="AB28" s="250">
        <v>1</v>
      </c>
      <c r="AC28" s="250">
        <v>0</v>
      </c>
      <c r="AD28" s="18" t="s">
        <v>1127</v>
      </c>
      <c r="AE28" s="250">
        <v>1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8" t="s">
        <v>25</v>
      </c>
    </row>
    <row r="29" spans="1:41">
      <c r="A29" s="82" t="s">
        <v>1065</v>
      </c>
      <c r="B29" s="240" t="s">
        <v>41</v>
      </c>
      <c r="C29" s="240" t="s">
        <v>1037</v>
      </c>
      <c r="D29" s="14">
        <f t="shared" si="0"/>
        <v>58</v>
      </c>
      <c r="E29" s="241">
        <v>45636</v>
      </c>
      <c r="F29" s="241">
        <v>45694</v>
      </c>
      <c r="H29" s="151">
        <v>0</v>
      </c>
      <c r="I29" s="14">
        <v>4</v>
      </c>
      <c r="J29" s="14">
        <v>0</v>
      </c>
      <c r="K29" s="14">
        <v>0</v>
      </c>
      <c r="L29" s="14">
        <v>0</v>
      </c>
      <c r="M29" s="14">
        <v>0</v>
      </c>
      <c r="N29" s="14">
        <v>5.5338421404693499</v>
      </c>
      <c r="O29" s="14">
        <v>0</v>
      </c>
      <c r="P29" s="14">
        <v>1</v>
      </c>
      <c r="Q29" s="14">
        <v>0</v>
      </c>
      <c r="R29" s="14">
        <v>-0.52613198372483605</v>
      </c>
      <c r="S29" s="83">
        <v>378</v>
      </c>
      <c r="T29" s="14">
        <f>2+4+3+3+7+2+2+1+8+20+30+4+2+1+7+2+10+4+3+3+2+3+6+2+2+2+6+4+2+12+4</f>
        <v>163</v>
      </c>
      <c r="U29" s="256">
        <v>8</v>
      </c>
      <c r="V29" s="257">
        <v>0</v>
      </c>
      <c r="W29" s="257">
        <v>0</v>
      </c>
      <c r="X29" s="257">
        <v>0</v>
      </c>
      <c r="Y29" s="257">
        <v>0</v>
      </c>
      <c r="Z29" s="151">
        <v>2.7454636405257902</v>
      </c>
      <c r="AA29" s="151">
        <v>0</v>
      </c>
      <c r="AB29" s="151">
        <v>1</v>
      </c>
      <c r="AC29" s="151">
        <v>0</v>
      </c>
      <c r="AD29" s="14" t="s">
        <v>1128</v>
      </c>
      <c r="AE29" s="151">
        <v>600</v>
      </c>
      <c r="AF29" s="14">
        <f>2*60+33</f>
        <v>153</v>
      </c>
      <c r="AG29" s="14">
        <v>0</v>
      </c>
      <c r="AH29" s="14">
        <v>2</v>
      </c>
      <c r="AI29" s="14">
        <v>0</v>
      </c>
      <c r="AJ29" s="14">
        <v>0</v>
      </c>
      <c r="AK29" s="14" t="s">
        <v>1171</v>
      </c>
      <c r="AL29" s="14">
        <v>0</v>
      </c>
      <c r="AM29" s="14">
        <v>1</v>
      </c>
      <c r="AN29" s="14">
        <v>0</v>
      </c>
      <c r="AO29" s="14" t="s">
        <v>1200</v>
      </c>
    </row>
    <row r="30" spans="1:41">
      <c r="A30" s="245" t="s">
        <v>1066</v>
      </c>
      <c r="B30" s="246" t="s">
        <v>41</v>
      </c>
      <c r="C30" s="246" t="s">
        <v>1037</v>
      </c>
      <c r="D30" s="55">
        <f t="shared" si="0"/>
        <v>58</v>
      </c>
      <c r="E30" s="247">
        <v>45636</v>
      </c>
      <c r="F30" s="247">
        <v>45694</v>
      </c>
      <c r="H30" s="56">
        <v>0</v>
      </c>
      <c r="I30" s="55">
        <v>4</v>
      </c>
      <c r="J30" s="55">
        <v>0</v>
      </c>
      <c r="K30" s="55">
        <v>0</v>
      </c>
      <c r="L30" s="55">
        <v>0</v>
      </c>
      <c r="M30" s="55">
        <v>0</v>
      </c>
      <c r="N30" s="55">
        <v>2.93920151801934</v>
      </c>
      <c r="O30" s="55">
        <v>0</v>
      </c>
      <c r="P30" s="55">
        <v>1</v>
      </c>
      <c r="Q30" s="55">
        <v>0</v>
      </c>
      <c r="R30" s="55">
        <v>-0.48988534625274799</v>
      </c>
      <c r="S30" s="56">
        <v>6</v>
      </c>
      <c r="T30" s="55">
        <v>1.5</v>
      </c>
      <c r="U30" s="260">
        <v>7</v>
      </c>
      <c r="V30" s="260">
        <v>0</v>
      </c>
      <c r="W30" s="260">
        <v>0</v>
      </c>
      <c r="X30" s="260">
        <v>0</v>
      </c>
      <c r="Y30" s="260">
        <v>0</v>
      </c>
      <c r="Z30" s="56">
        <v>15.474195978637299</v>
      </c>
      <c r="AA30" s="56">
        <v>2</v>
      </c>
      <c r="AB30" s="56">
        <v>3</v>
      </c>
      <c r="AC30" s="56">
        <v>1</v>
      </c>
      <c r="AD30" s="55" t="s">
        <v>1129</v>
      </c>
      <c r="AE30" s="56">
        <f>38-12</f>
        <v>26</v>
      </c>
      <c r="AF30" s="55">
        <v>18</v>
      </c>
      <c r="AG30" s="55">
        <v>1</v>
      </c>
      <c r="AH30" s="55">
        <v>1</v>
      </c>
      <c r="AI30" s="55">
        <v>0</v>
      </c>
      <c r="AJ30" s="55">
        <v>0</v>
      </c>
      <c r="AK30" s="55" t="s">
        <v>1172</v>
      </c>
      <c r="AL30" s="55">
        <v>2</v>
      </c>
      <c r="AM30" s="55">
        <v>2</v>
      </c>
      <c r="AN30" s="55">
        <v>1</v>
      </c>
      <c r="AO30" s="55" t="s">
        <v>1201</v>
      </c>
    </row>
    <row r="31" spans="1:41">
      <c r="A31" s="42" t="s">
        <v>1067</v>
      </c>
      <c r="B31" s="251" t="s">
        <v>41</v>
      </c>
      <c r="C31" s="251" t="s">
        <v>1050</v>
      </c>
      <c r="D31" s="18">
        <f t="shared" si="0"/>
        <v>58</v>
      </c>
      <c r="E31" s="249">
        <v>45636</v>
      </c>
      <c r="F31" s="249">
        <v>45694</v>
      </c>
      <c r="H31" s="250">
        <v>2</v>
      </c>
      <c r="I31" s="18">
        <v>9</v>
      </c>
      <c r="J31" s="18">
        <v>0</v>
      </c>
      <c r="K31" s="18">
        <v>0</v>
      </c>
      <c r="L31" s="18">
        <v>0</v>
      </c>
      <c r="M31" s="18">
        <v>0</v>
      </c>
      <c r="N31" s="18">
        <v>6.7787416524436797</v>
      </c>
      <c r="O31" s="18">
        <v>0</v>
      </c>
      <c r="P31" s="18">
        <v>1</v>
      </c>
      <c r="Q31" s="18">
        <v>1</v>
      </c>
      <c r="R31" s="18">
        <v>-0.55184064117704901</v>
      </c>
      <c r="S31" s="43">
        <v>323</v>
      </c>
      <c r="T31" s="18">
        <f>4+4+8+11+4+2</f>
        <v>33</v>
      </c>
      <c r="U31" s="269">
        <f>180+7</f>
        <v>187</v>
      </c>
      <c r="V31" s="270">
        <v>4</v>
      </c>
      <c r="W31" s="270">
        <v>5</v>
      </c>
      <c r="X31" s="270">
        <v>0</v>
      </c>
      <c r="Y31" s="270">
        <v>4</v>
      </c>
      <c r="Z31" s="250">
        <v>7.0659181352803397</v>
      </c>
      <c r="AA31" s="250">
        <v>2</v>
      </c>
      <c r="AB31" s="250">
        <v>3</v>
      </c>
      <c r="AC31" s="250">
        <v>3</v>
      </c>
      <c r="AD31" s="18" t="s">
        <v>1130</v>
      </c>
      <c r="AE31" s="250">
        <v>3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 t="s">
        <v>25</v>
      </c>
    </row>
    <row r="32" spans="1:41">
      <c r="A32" s="42" t="s">
        <v>1068</v>
      </c>
      <c r="B32" s="251" t="s">
        <v>41</v>
      </c>
      <c r="C32" s="251" t="s">
        <v>1050</v>
      </c>
      <c r="D32" s="18">
        <f t="shared" si="0"/>
        <v>58</v>
      </c>
      <c r="E32" s="249">
        <v>45636</v>
      </c>
      <c r="F32" s="249">
        <v>45694</v>
      </c>
      <c r="H32" s="250">
        <v>2</v>
      </c>
      <c r="I32" s="18">
        <v>5</v>
      </c>
      <c r="J32" s="18">
        <v>0</v>
      </c>
      <c r="K32" s="18">
        <v>0</v>
      </c>
      <c r="L32" s="18">
        <v>0</v>
      </c>
      <c r="M32" s="18">
        <v>0</v>
      </c>
      <c r="N32" s="18">
        <v>5.1047272937969597</v>
      </c>
      <c r="O32" s="18">
        <v>0</v>
      </c>
      <c r="P32" s="18">
        <v>1</v>
      </c>
      <c r="Q32" s="18">
        <v>0</v>
      </c>
      <c r="R32" s="18">
        <v>-0.51990888212001196</v>
      </c>
      <c r="S32" s="43">
        <v>167</v>
      </c>
      <c r="T32" s="18">
        <f>4+2+2+3+16</f>
        <v>27</v>
      </c>
      <c r="U32" s="269">
        <f>52-4</f>
        <v>48</v>
      </c>
      <c r="V32" s="270">
        <v>3</v>
      </c>
      <c r="W32" s="270">
        <v>2</v>
      </c>
      <c r="X32" s="270">
        <v>0</v>
      </c>
      <c r="Y32" s="270">
        <v>1</v>
      </c>
      <c r="Z32" s="250">
        <v>0.52155877900005798</v>
      </c>
      <c r="AA32" s="250">
        <v>4</v>
      </c>
      <c r="AB32" s="250">
        <v>3</v>
      </c>
      <c r="AC32" s="250">
        <v>3</v>
      </c>
      <c r="AD32" s="18" t="s">
        <v>1131</v>
      </c>
      <c r="AE32" s="250">
        <f>4*60+15-48</f>
        <v>207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 t="s">
        <v>25</v>
      </c>
    </row>
    <row r="33" spans="1:41">
      <c r="A33" s="42" t="s">
        <v>1069</v>
      </c>
      <c r="B33" s="251" t="s">
        <v>41</v>
      </c>
      <c r="C33" s="251" t="s">
        <v>1050</v>
      </c>
      <c r="D33" s="18">
        <f t="shared" si="0"/>
        <v>58</v>
      </c>
      <c r="E33" s="249">
        <v>45636</v>
      </c>
      <c r="F33" s="249">
        <v>45694</v>
      </c>
      <c r="H33" s="250">
        <v>2</v>
      </c>
      <c r="I33" s="18">
        <v>3</v>
      </c>
      <c r="J33" s="18">
        <v>0</v>
      </c>
      <c r="K33" s="18">
        <v>0</v>
      </c>
      <c r="L33" s="18">
        <v>0</v>
      </c>
      <c r="M33" s="18">
        <v>0</v>
      </c>
      <c r="N33" s="18">
        <v>4.36127066100111</v>
      </c>
      <c r="O33" s="18">
        <v>0</v>
      </c>
      <c r="P33" s="18">
        <v>1</v>
      </c>
      <c r="Q33" s="18">
        <v>0</v>
      </c>
      <c r="R33" s="18">
        <v>-0.50997983108238698</v>
      </c>
      <c r="S33" s="43">
        <v>13</v>
      </c>
      <c r="T33" s="18">
        <v>10</v>
      </c>
      <c r="U33" s="269">
        <f>14-5</f>
        <v>9</v>
      </c>
      <c r="V33" s="270">
        <v>1</v>
      </c>
      <c r="W33" s="270">
        <v>0</v>
      </c>
      <c r="X33" s="270">
        <v>0</v>
      </c>
      <c r="Y33" s="270">
        <v>0</v>
      </c>
      <c r="Z33" s="250">
        <v>2.2359232194072298</v>
      </c>
      <c r="AA33" s="250">
        <v>0</v>
      </c>
      <c r="AB33" s="250">
        <v>1</v>
      </c>
      <c r="AC33" s="250">
        <v>0</v>
      </c>
      <c r="AD33" s="18" t="s">
        <v>1132</v>
      </c>
      <c r="AE33" s="250">
        <f>50-14</f>
        <v>36</v>
      </c>
      <c r="AF33" s="18"/>
      <c r="AG33" s="18"/>
      <c r="AH33" s="18"/>
      <c r="AI33" s="18"/>
      <c r="AJ33" s="18"/>
      <c r="AK33" s="18"/>
      <c r="AL33" s="18"/>
      <c r="AM33" s="18"/>
      <c r="AN33" s="18"/>
      <c r="AO33" s="18" t="s">
        <v>25</v>
      </c>
    </row>
    <row r="34" spans="1:41">
      <c r="A34" s="137" t="s">
        <v>1070</v>
      </c>
      <c r="B34" s="252" t="s">
        <v>17</v>
      </c>
      <c r="C34" s="253" t="s">
        <v>1071</v>
      </c>
      <c r="D34" s="62">
        <f t="shared" si="0"/>
        <v>60</v>
      </c>
      <c r="E34" s="254">
        <v>45636</v>
      </c>
      <c r="F34" s="254">
        <v>45696</v>
      </c>
      <c r="H34" s="253">
        <v>1</v>
      </c>
      <c r="I34" s="62">
        <v>5</v>
      </c>
      <c r="J34" s="62">
        <v>0</v>
      </c>
      <c r="K34" s="62">
        <v>0</v>
      </c>
      <c r="L34" s="62">
        <v>0</v>
      </c>
      <c r="M34" s="62">
        <v>0</v>
      </c>
      <c r="N34" s="62">
        <v>4.2980283570585804</v>
      </c>
      <c r="O34" s="62">
        <v>0</v>
      </c>
      <c r="P34" s="62">
        <v>1</v>
      </c>
      <c r="Q34" s="62">
        <v>0</v>
      </c>
      <c r="R34" s="62">
        <v>-0.50863945094866803</v>
      </c>
      <c r="S34" s="117">
        <v>7</v>
      </c>
      <c r="T34" s="62">
        <v>2.5</v>
      </c>
      <c r="U34" s="272">
        <v>90</v>
      </c>
      <c r="V34" s="273">
        <v>0</v>
      </c>
      <c r="W34" s="273">
        <v>0</v>
      </c>
      <c r="X34" s="273">
        <v>0</v>
      </c>
      <c r="Y34" s="273">
        <v>0</v>
      </c>
      <c r="Z34" s="253">
        <v>11.6162455987286</v>
      </c>
      <c r="AA34" s="253">
        <v>0</v>
      </c>
      <c r="AB34" s="253">
        <v>1</v>
      </c>
      <c r="AC34" s="253">
        <v>1</v>
      </c>
      <c r="AD34" s="62" t="s">
        <v>1133</v>
      </c>
      <c r="AE34" s="117">
        <f>17+26</f>
        <v>43</v>
      </c>
      <c r="AF34" s="62">
        <v>125</v>
      </c>
      <c r="AG34" s="62">
        <v>2</v>
      </c>
      <c r="AH34" s="62">
        <v>2</v>
      </c>
      <c r="AI34" s="62">
        <v>0</v>
      </c>
      <c r="AJ34" s="62">
        <v>0</v>
      </c>
      <c r="AK34" s="62" t="s">
        <v>1173</v>
      </c>
      <c r="AL34" s="62">
        <v>1</v>
      </c>
      <c r="AM34" s="62">
        <v>1</v>
      </c>
      <c r="AN34" s="62">
        <v>1</v>
      </c>
      <c r="AO34" s="62" t="s">
        <v>1202</v>
      </c>
    </row>
    <row r="35" spans="1:41">
      <c r="A35" s="137" t="s">
        <v>1072</v>
      </c>
      <c r="B35" s="252" t="s">
        <v>17</v>
      </c>
      <c r="C35" s="253" t="s">
        <v>1071</v>
      </c>
      <c r="D35" s="62">
        <f t="shared" si="0"/>
        <v>60</v>
      </c>
      <c r="E35" s="254">
        <v>45636</v>
      </c>
      <c r="F35" s="254">
        <v>45696</v>
      </c>
      <c r="H35" s="253">
        <v>1</v>
      </c>
      <c r="I35" s="62">
        <v>6</v>
      </c>
      <c r="J35" s="62">
        <v>0</v>
      </c>
      <c r="K35" s="62">
        <v>0</v>
      </c>
      <c r="L35" s="62">
        <v>0</v>
      </c>
      <c r="M35" s="62">
        <v>1</v>
      </c>
      <c r="N35" s="62">
        <v>10.3776693580154</v>
      </c>
      <c r="O35" s="62">
        <v>0</v>
      </c>
      <c r="P35" s="62">
        <v>1</v>
      </c>
      <c r="Q35" s="62">
        <v>1</v>
      </c>
      <c r="R35" s="62">
        <v>-0.52103244386000802</v>
      </c>
      <c r="S35" s="117">
        <v>600</v>
      </c>
      <c r="T35" s="62">
        <f>0.5*4+5+3+7+10+10+3+3.5+30+26+24+5+60+15+10+10+2+2+20+2+2</f>
        <v>251.5</v>
      </c>
      <c r="U35" s="272">
        <v>31</v>
      </c>
      <c r="V35" s="273">
        <v>1</v>
      </c>
      <c r="W35" s="273">
        <v>2</v>
      </c>
      <c r="X35" s="273">
        <v>0</v>
      </c>
      <c r="Y35" s="273">
        <v>0</v>
      </c>
      <c r="Z35" s="253">
        <v>11.494489987850599</v>
      </c>
      <c r="AA35" s="253">
        <v>2</v>
      </c>
      <c r="AB35" s="253">
        <v>3</v>
      </c>
      <c r="AC35" s="253">
        <v>1</v>
      </c>
      <c r="AD35" s="62" t="s">
        <v>1134</v>
      </c>
      <c r="AE35" s="117">
        <v>27</v>
      </c>
      <c r="AF35" s="62">
        <v>600</v>
      </c>
      <c r="AG35" s="62">
        <v>11</v>
      </c>
      <c r="AH35" s="62">
        <v>15</v>
      </c>
      <c r="AI35" s="62">
        <v>3</v>
      </c>
      <c r="AJ35" s="62">
        <v>5</v>
      </c>
      <c r="AK35" s="62" t="s">
        <v>25</v>
      </c>
      <c r="AL35" s="62">
        <v>5</v>
      </c>
      <c r="AM35" s="62">
        <v>5</v>
      </c>
      <c r="AN35" s="62">
        <v>5</v>
      </c>
      <c r="AO35" s="62" t="s">
        <v>26</v>
      </c>
    </row>
    <row r="36" spans="1:41">
      <c r="A36" s="137" t="s">
        <v>1073</v>
      </c>
      <c r="B36" s="252" t="s">
        <v>17</v>
      </c>
      <c r="C36" s="253" t="s">
        <v>1071</v>
      </c>
      <c r="D36" s="62">
        <f t="shared" si="0"/>
        <v>60</v>
      </c>
      <c r="E36" s="254">
        <v>45636</v>
      </c>
      <c r="F36" s="254">
        <v>45696</v>
      </c>
      <c r="H36" s="253">
        <v>1</v>
      </c>
      <c r="I36" s="62">
        <v>6</v>
      </c>
      <c r="J36" s="62">
        <v>0</v>
      </c>
      <c r="K36" s="62">
        <v>0</v>
      </c>
      <c r="L36" s="62">
        <v>0</v>
      </c>
      <c r="M36" s="62">
        <v>0</v>
      </c>
      <c r="N36" s="62">
        <v>9.0581573143832692</v>
      </c>
      <c r="O36" s="62">
        <v>0</v>
      </c>
      <c r="P36" s="62">
        <v>1</v>
      </c>
      <c r="Q36" s="62">
        <v>1</v>
      </c>
      <c r="R36" s="62">
        <v>-0.584368991437626</v>
      </c>
      <c r="S36" s="117">
        <v>20</v>
      </c>
      <c r="T36" s="62">
        <v>19</v>
      </c>
      <c r="U36" s="272">
        <v>19</v>
      </c>
      <c r="V36" s="273">
        <v>0</v>
      </c>
      <c r="W36" s="273">
        <v>0</v>
      </c>
      <c r="X36" s="273">
        <v>0</v>
      </c>
      <c r="Y36" s="273">
        <v>1</v>
      </c>
      <c r="Z36" s="253">
        <v>10.1127554268311</v>
      </c>
      <c r="AA36" s="253">
        <v>0</v>
      </c>
      <c r="AB36" s="253">
        <v>2</v>
      </c>
      <c r="AC36" s="253">
        <v>1</v>
      </c>
      <c r="AD36" s="62" t="s">
        <v>1135</v>
      </c>
      <c r="AE36" s="117">
        <f>41-23</f>
        <v>18</v>
      </c>
      <c r="AF36" s="62">
        <v>75</v>
      </c>
      <c r="AG36" s="62">
        <v>0</v>
      </c>
      <c r="AH36" s="62">
        <v>2</v>
      </c>
      <c r="AI36" s="62">
        <v>1</v>
      </c>
      <c r="AJ36" s="62">
        <v>1</v>
      </c>
      <c r="AK36" s="62" t="s">
        <v>1174</v>
      </c>
      <c r="AL36" s="62">
        <v>2</v>
      </c>
      <c r="AM36" s="62">
        <v>3</v>
      </c>
      <c r="AN36" s="62">
        <v>3</v>
      </c>
      <c r="AO36" s="62" t="s">
        <v>1203</v>
      </c>
    </row>
    <row r="37" spans="1:41">
      <c r="A37" s="137" t="s">
        <v>1074</v>
      </c>
      <c r="B37" s="139" t="s">
        <v>17</v>
      </c>
      <c r="C37" s="117" t="s">
        <v>1071</v>
      </c>
      <c r="D37" s="88">
        <f t="shared" si="0"/>
        <v>60</v>
      </c>
      <c r="E37" s="140">
        <v>45636</v>
      </c>
      <c r="F37" s="140">
        <v>45696</v>
      </c>
      <c r="H37" s="117">
        <v>1</v>
      </c>
      <c r="I37" s="62">
        <v>5</v>
      </c>
      <c r="J37" s="62">
        <v>0</v>
      </c>
      <c r="K37" s="62">
        <v>0</v>
      </c>
      <c r="L37" s="62">
        <v>0</v>
      </c>
      <c r="M37" s="62">
        <v>0</v>
      </c>
      <c r="N37" s="62">
        <v>5.1357957946158104</v>
      </c>
      <c r="O37" s="62">
        <v>0</v>
      </c>
      <c r="P37" s="62">
        <v>1</v>
      </c>
      <c r="Q37" s="62">
        <v>0</v>
      </c>
      <c r="R37" s="88">
        <v>-0.52034290318491006</v>
      </c>
      <c r="S37" s="117">
        <v>600</v>
      </c>
      <c r="T37" s="62">
        <f>21+4+3+6+2+2+2+2+4+6+3+6+15+5+2+5+6+5+5+3+8</f>
        <v>115</v>
      </c>
      <c r="U37" s="272">
        <v>361</v>
      </c>
      <c r="V37" s="272">
        <v>5</v>
      </c>
      <c r="W37" s="272">
        <v>7</v>
      </c>
      <c r="X37" s="272">
        <v>0</v>
      </c>
      <c r="Y37" s="272">
        <v>2</v>
      </c>
      <c r="Z37" s="117">
        <v>6.5575752776181497</v>
      </c>
      <c r="AA37" s="117">
        <v>0</v>
      </c>
      <c r="AB37" s="117">
        <v>1</v>
      </c>
      <c r="AC37" s="117">
        <v>0</v>
      </c>
      <c r="AD37" s="88" t="s">
        <v>1136</v>
      </c>
      <c r="AE37" s="117">
        <v>28</v>
      </c>
      <c r="AF37" s="88">
        <v>202</v>
      </c>
      <c r="AG37" s="88">
        <v>2</v>
      </c>
      <c r="AH37" s="88">
        <v>3</v>
      </c>
      <c r="AI37" s="88">
        <v>1</v>
      </c>
      <c r="AJ37" s="88">
        <v>0</v>
      </c>
      <c r="AK37" s="88" t="s">
        <v>1175</v>
      </c>
      <c r="AL37" s="88">
        <v>2</v>
      </c>
      <c r="AM37" s="88">
        <v>3</v>
      </c>
      <c r="AN37" s="88">
        <v>2</v>
      </c>
      <c r="AO37" s="88" t="s">
        <v>1204</v>
      </c>
    </row>
    <row r="38" spans="1:41">
      <c r="A38" s="137" t="s">
        <v>1075</v>
      </c>
      <c r="B38" s="252" t="s">
        <v>17</v>
      </c>
      <c r="C38" s="253" t="s">
        <v>1071</v>
      </c>
      <c r="D38" s="62">
        <f t="shared" si="0"/>
        <v>60</v>
      </c>
      <c r="E38" s="254">
        <v>45636</v>
      </c>
      <c r="F38" s="254">
        <v>45696</v>
      </c>
      <c r="H38" s="253">
        <v>1</v>
      </c>
      <c r="I38" s="62">
        <v>12</v>
      </c>
      <c r="J38" s="62">
        <v>0</v>
      </c>
      <c r="K38" s="62">
        <v>1</v>
      </c>
      <c r="L38" s="62">
        <v>0</v>
      </c>
      <c r="M38" s="62">
        <v>0</v>
      </c>
      <c r="N38" s="62">
        <v>2.05747714412459</v>
      </c>
      <c r="O38" s="62">
        <v>2</v>
      </c>
      <c r="P38" s="62">
        <v>2</v>
      </c>
      <c r="Q38" s="62">
        <v>1</v>
      </c>
      <c r="R38" s="62">
        <v>-0.314100492651751</v>
      </c>
      <c r="S38" s="117">
        <v>66</v>
      </c>
      <c r="T38" s="62">
        <v>22</v>
      </c>
      <c r="U38" s="272">
        <v>3</v>
      </c>
      <c r="V38" s="273">
        <v>0</v>
      </c>
      <c r="W38" s="273">
        <v>0</v>
      </c>
      <c r="X38" s="273">
        <v>0</v>
      </c>
      <c r="Y38" s="273">
        <v>1</v>
      </c>
      <c r="Z38" s="253">
        <v>8.5937839940082803</v>
      </c>
      <c r="AA38" s="253">
        <v>0</v>
      </c>
      <c r="AB38" s="253">
        <v>1</v>
      </c>
      <c r="AC38" s="253">
        <v>0</v>
      </c>
      <c r="AD38" s="62" t="s">
        <v>1137</v>
      </c>
      <c r="AE38" s="117">
        <v>5</v>
      </c>
      <c r="AF38" s="88">
        <v>14</v>
      </c>
      <c r="AG38" s="88">
        <v>0</v>
      </c>
      <c r="AH38" s="88">
        <v>0</v>
      </c>
      <c r="AI38" s="88">
        <v>0</v>
      </c>
      <c r="AJ38" s="88">
        <v>0</v>
      </c>
      <c r="AK38" s="62" t="s">
        <v>1176</v>
      </c>
      <c r="AL38" s="88">
        <v>2</v>
      </c>
      <c r="AM38" s="88">
        <v>3</v>
      </c>
      <c r="AN38" s="88">
        <v>2</v>
      </c>
      <c r="AO38" s="62" t="s">
        <v>1205</v>
      </c>
    </row>
    <row r="39" spans="1:41">
      <c r="A39" s="137" t="s">
        <v>1076</v>
      </c>
      <c r="B39" s="252" t="s">
        <v>17</v>
      </c>
      <c r="C39" s="253" t="s">
        <v>1071</v>
      </c>
      <c r="D39" s="62">
        <f t="shared" si="0"/>
        <v>60</v>
      </c>
      <c r="E39" s="254">
        <v>45636</v>
      </c>
      <c r="F39" s="254">
        <v>45696</v>
      </c>
      <c r="H39" s="253">
        <v>1</v>
      </c>
      <c r="I39" s="62">
        <v>4</v>
      </c>
      <c r="J39" s="62">
        <v>0</v>
      </c>
      <c r="K39" s="62">
        <v>0</v>
      </c>
      <c r="L39" s="62">
        <v>0</v>
      </c>
      <c r="M39" s="62">
        <v>0</v>
      </c>
      <c r="N39" s="62">
        <v>6.4350254145309904</v>
      </c>
      <c r="O39" s="62">
        <v>0</v>
      </c>
      <c r="P39" s="62">
        <v>1</v>
      </c>
      <c r="Q39" s="62">
        <v>0</v>
      </c>
      <c r="R39" s="62">
        <v>-0.53872134317145404</v>
      </c>
      <c r="S39" s="117">
        <v>471</v>
      </c>
      <c r="T39" s="62">
        <f>2+2+16+12+2+1+1+15+18+2+4+6+2+3+10+18+22+5+2+12+3+2+2+3+3+5+2</f>
        <v>175</v>
      </c>
      <c r="U39" s="272">
        <v>22</v>
      </c>
      <c r="V39" s="273">
        <v>0</v>
      </c>
      <c r="W39" s="273">
        <v>0</v>
      </c>
      <c r="X39" s="273">
        <v>0</v>
      </c>
      <c r="Y39" s="273">
        <v>1</v>
      </c>
      <c r="Z39" s="253">
        <v>4.6343326781791099</v>
      </c>
      <c r="AA39" s="253">
        <v>0</v>
      </c>
      <c r="AB39" s="253">
        <v>1</v>
      </c>
      <c r="AC39" s="253">
        <v>0</v>
      </c>
      <c r="AD39" s="62" t="s">
        <v>1138</v>
      </c>
      <c r="AE39" s="117">
        <v>2</v>
      </c>
      <c r="AF39" s="88">
        <v>2</v>
      </c>
      <c r="AG39" s="88">
        <v>0</v>
      </c>
      <c r="AH39" s="88">
        <v>0</v>
      </c>
      <c r="AI39" s="88">
        <v>0</v>
      </c>
      <c r="AJ39" s="88">
        <v>0</v>
      </c>
      <c r="AK39" s="62" t="s">
        <v>1177</v>
      </c>
      <c r="AL39" s="88">
        <v>2</v>
      </c>
      <c r="AM39" s="88">
        <v>2</v>
      </c>
      <c r="AN39" s="88">
        <v>1</v>
      </c>
      <c r="AO39" s="62" t="s">
        <v>1206</v>
      </c>
    </row>
    <row r="40" spans="1:41">
      <c r="A40" s="137" t="s">
        <v>1077</v>
      </c>
      <c r="B40" s="252" t="s">
        <v>17</v>
      </c>
      <c r="C40" s="253" t="s">
        <v>1071</v>
      </c>
      <c r="D40" s="62">
        <f t="shared" si="0"/>
        <v>60</v>
      </c>
      <c r="E40" s="254">
        <v>45636</v>
      </c>
      <c r="F40" s="254">
        <v>45696</v>
      </c>
      <c r="H40" s="253">
        <v>1</v>
      </c>
      <c r="I40" s="62">
        <v>10</v>
      </c>
      <c r="J40" s="62">
        <v>0</v>
      </c>
      <c r="K40" s="62">
        <v>0</v>
      </c>
      <c r="L40" s="62">
        <v>0</v>
      </c>
      <c r="M40" s="62">
        <v>0</v>
      </c>
      <c r="N40" s="62">
        <v>3.4441574982551399</v>
      </c>
      <c r="O40" s="62">
        <v>1</v>
      </c>
      <c r="P40" s="62">
        <v>1</v>
      </c>
      <c r="Q40" s="62">
        <v>1</v>
      </c>
      <c r="R40" s="62">
        <v>-0.492229677320002</v>
      </c>
      <c r="S40" s="117">
        <v>600</v>
      </c>
      <c r="T40" s="62">
        <f>13+10+2+2+5+4+2+4+2+1+3+2+3+1+11+8+8+7+4+5</f>
        <v>97</v>
      </c>
      <c r="U40" s="272">
        <v>4</v>
      </c>
      <c r="V40" s="273">
        <v>0</v>
      </c>
      <c r="W40" s="273">
        <v>0</v>
      </c>
      <c r="X40" s="273">
        <v>0</v>
      </c>
      <c r="Y40" s="273">
        <v>0</v>
      </c>
      <c r="Z40" s="274">
        <v>14.3302998277924</v>
      </c>
      <c r="AA40" s="253">
        <v>0</v>
      </c>
      <c r="AB40" s="253">
        <v>1</v>
      </c>
      <c r="AC40" s="253">
        <v>0</v>
      </c>
      <c r="AD40" s="62" t="s">
        <v>1139</v>
      </c>
      <c r="AE40" s="117">
        <v>3</v>
      </c>
      <c r="AF40" s="88">
        <v>3</v>
      </c>
      <c r="AG40" s="88">
        <v>0</v>
      </c>
      <c r="AH40" s="88">
        <v>0</v>
      </c>
      <c r="AI40" s="88">
        <v>0</v>
      </c>
      <c r="AJ40" s="88">
        <v>0</v>
      </c>
      <c r="AK40" s="62" t="s">
        <v>1178</v>
      </c>
      <c r="AL40" s="88">
        <v>2</v>
      </c>
      <c r="AM40" s="88">
        <v>2</v>
      </c>
      <c r="AN40" s="88">
        <v>1</v>
      </c>
      <c r="AO40" s="62" t="s">
        <v>1207</v>
      </c>
    </row>
    <row r="41" spans="1:41">
      <c r="A41" s="137" t="s">
        <v>1078</v>
      </c>
      <c r="B41" s="253" t="s">
        <v>41</v>
      </c>
      <c r="C41" s="253" t="s">
        <v>1071</v>
      </c>
      <c r="D41" s="62">
        <f t="shared" si="0"/>
        <v>56</v>
      </c>
      <c r="E41" s="254">
        <v>45643</v>
      </c>
      <c r="F41" s="254">
        <v>45699</v>
      </c>
      <c r="H41" s="253">
        <v>1</v>
      </c>
      <c r="I41" s="62">
        <v>9</v>
      </c>
      <c r="J41" s="62">
        <v>0</v>
      </c>
      <c r="K41" s="62">
        <v>0</v>
      </c>
      <c r="L41" s="62">
        <v>0</v>
      </c>
      <c r="M41" s="62">
        <v>0</v>
      </c>
      <c r="N41" s="62">
        <v>6.7939710342980399</v>
      </c>
      <c r="O41" s="62">
        <v>0</v>
      </c>
      <c r="P41" s="62">
        <v>1</v>
      </c>
      <c r="Q41" s="62">
        <v>0</v>
      </c>
      <c r="R41" s="62">
        <v>-0.54259350256167505</v>
      </c>
      <c r="S41" s="117">
        <v>9.5</v>
      </c>
      <c r="T41" s="62">
        <v>3</v>
      </c>
      <c r="U41" s="272">
        <v>65</v>
      </c>
      <c r="V41" s="272">
        <v>1</v>
      </c>
      <c r="W41" s="272">
        <v>1</v>
      </c>
      <c r="X41" s="272">
        <v>0</v>
      </c>
      <c r="Y41" s="273">
        <v>1</v>
      </c>
      <c r="Z41" s="253">
        <v>3.1068065523764399</v>
      </c>
      <c r="AA41" s="253">
        <v>4</v>
      </c>
      <c r="AB41" s="253">
        <v>3</v>
      </c>
      <c r="AC41" s="253">
        <v>3</v>
      </c>
      <c r="AD41" s="62" t="s">
        <v>1140</v>
      </c>
      <c r="AE41" s="117">
        <f>363-71</f>
        <v>292</v>
      </c>
      <c r="AF41" s="62">
        <f>7*60+44</f>
        <v>464</v>
      </c>
      <c r="AG41" s="88">
        <v>7</v>
      </c>
      <c r="AH41" s="88">
        <v>9</v>
      </c>
      <c r="AI41" s="88">
        <v>1</v>
      </c>
      <c r="AJ41" s="88">
        <v>7</v>
      </c>
      <c r="AK41" s="62" t="s">
        <v>1179</v>
      </c>
      <c r="AL41" s="88">
        <v>2</v>
      </c>
      <c r="AM41" s="88">
        <v>3</v>
      </c>
      <c r="AN41" s="88">
        <v>3</v>
      </c>
      <c r="AO41" s="62" t="s">
        <v>1208</v>
      </c>
    </row>
    <row r="42" spans="1:41">
      <c r="A42" s="137" t="s">
        <v>1079</v>
      </c>
      <c r="B42" s="117" t="s">
        <v>41</v>
      </c>
      <c r="C42" s="117" t="s">
        <v>1071</v>
      </c>
      <c r="D42" s="88">
        <f t="shared" si="0"/>
        <v>56</v>
      </c>
      <c r="E42" s="140">
        <v>45643</v>
      </c>
      <c r="F42" s="140">
        <v>45699</v>
      </c>
      <c r="H42" s="117">
        <v>1</v>
      </c>
      <c r="I42" s="62">
        <f>180+35</f>
        <v>215</v>
      </c>
      <c r="J42" s="62">
        <v>2</v>
      </c>
      <c r="K42" s="62">
        <v>0</v>
      </c>
      <c r="L42" s="62">
        <v>0</v>
      </c>
      <c r="M42" s="62">
        <v>2</v>
      </c>
      <c r="N42" s="62">
        <v>7.2721468443989101</v>
      </c>
      <c r="O42" s="62">
        <v>1</v>
      </c>
      <c r="P42" s="62">
        <v>3</v>
      </c>
      <c r="Q42" s="62">
        <v>2</v>
      </c>
      <c r="R42" s="88">
        <v>-5.46189647394245E-2</v>
      </c>
      <c r="S42" s="117">
        <v>379</v>
      </c>
      <c r="T42" s="62">
        <v>33</v>
      </c>
      <c r="U42" s="272">
        <f>9*60+5</f>
        <v>545</v>
      </c>
      <c r="V42" s="272">
        <v>3</v>
      </c>
      <c r="W42" s="272">
        <v>5</v>
      </c>
      <c r="X42" s="272">
        <v>1</v>
      </c>
      <c r="Y42" s="272">
        <v>2</v>
      </c>
      <c r="Z42" s="117">
        <v>5.9172303055154396</v>
      </c>
      <c r="AA42" s="117">
        <v>2</v>
      </c>
      <c r="AB42" s="117">
        <v>3</v>
      </c>
      <c r="AC42" s="117">
        <v>2</v>
      </c>
      <c r="AD42" s="88" t="s">
        <v>1141</v>
      </c>
      <c r="AE42" s="117">
        <f>51-13</f>
        <v>38</v>
      </c>
      <c r="AF42" s="88">
        <v>5</v>
      </c>
      <c r="AG42" s="88">
        <v>0</v>
      </c>
      <c r="AH42" s="88">
        <v>0</v>
      </c>
      <c r="AI42" s="88">
        <v>0</v>
      </c>
      <c r="AJ42" s="88">
        <v>0</v>
      </c>
      <c r="AK42" s="88" t="s">
        <v>1180</v>
      </c>
      <c r="AL42" s="88">
        <v>0</v>
      </c>
      <c r="AM42" s="88">
        <v>1</v>
      </c>
      <c r="AN42" s="88">
        <v>1</v>
      </c>
      <c r="AO42" s="88" t="s">
        <v>1209</v>
      </c>
    </row>
    <row r="43" spans="1:41">
      <c r="A43" s="137" t="s">
        <v>1080</v>
      </c>
      <c r="B43" s="117" t="s">
        <v>41</v>
      </c>
      <c r="C43" s="117" t="s">
        <v>1071</v>
      </c>
      <c r="D43" s="88">
        <f t="shared" si="0"/>
        <v>56</v>
      </c>
      <c r="E43" s="140">
        <v>45643</v>
      </c>
      <c r="F43" s="140">
        <v>45699</v>
      </c>
      <c r="H43" s="117">
        <v>1</v>
      </c>
      <c r="I43" s="62">
        <v>4</v>
      </c>
      <c r="J43" s="62">
        <v>0</v>
      </c>
      <c r="K43" s="62">
        <v>0</v>
      </c>
      <c r="L43" s="62">
        <v>0</v>
      </c>
      <c r="M43" s="62">
        <v>0</v>
      </c>
      <c r="N43" s="277">
        <v>7</v>
      </c>
      <c r="O43" s="62">
        <v>0</v>
      </c>
      <c r="P43" s="62">
        <v>1</v>
      </c>
      <c r="Q43" s="62">
        <v>0</v>
      </c>
      <c r="R43" s="88">
        <v>-0.54661393099392497</v>
      </c>
      <c r="S43" s="117">
        <v>600</v>
      </c>
      <c r="T43" s="62">
        <f>3+3+3+2+4+4+5+2+12+4+6+4+12+2+11+9+5+4+6+7</f>
        <v>108</v>
      </c>
      <c r="U43" s="272">
        <v>9</v>
      </c>
      <c r="V43" s="272">
        <v>0</v>
      </c>
      <c r="W43" s="272">
        <v>0</v>
      </c>
      <c r="X43" s="272">
        <v>0</v>
      </c>
      <c r="Y43" s="272">
        <v>0</v>
      </c>
      <c r="Z43" s="117">
        <v>12.1203173194495</v>
      </c>
      <c r="AA43" s="117">
        <v>0</v>
      </c>
      <c r="AB43" s="117">
        <v>1</v>
      </c>
      <c r="AC43" s="117">
        <v>1</v>
      </c>
      <c r="AD43" s="88" t="s">
        <v>1142</v>
      </c>
      <c r="AE43" s="117">
        <f>154-15</f>
        <v>139</v>
      </c>
      <c r="AF43" s="88">
        <v>41</v>
      </c>
      <c r="AG43" s="88">
        <v>1</v>
      </c>
      <c r="AH43" s="88">
        <v>1</v>
      </c>
      <c r="AI43" s="88">
        <v>1</v>
      </c>
      <c r="AJ43" s="88">
        <v>0</v>
      </c>
      <c r="AK43" s="88" t="s">
        <v>1181</v>
      </c>
      <c r="AL43" s="88">
        <v>1</v>
      </c>
      <c r="AM43" s="88">
        <v>1</v>
      </c>
      <c r="AN43" s="88">
        <v>1</v>
      </c>
      <c r="AO43" s="88" t="s">
        <v>1210</v>
      </c>
    </row>
    <row r="44" spans="1:41">
      <c r="A44" s="137" t="s">
        <v>1081</v>
      </c>
      <c r="B44" s="117" t="s">
        <v>41</v>
      </c>
      <c r="C44" s="117" t="s">
        <v>1071</v>
      </c>
      <c r="D44" s="88">
        <f t="shared" si="0"/>
        <v>56</v>
      </c>
      <c r="E44" s="140">
        <v>45643</v>
      </c>
      <c r="F44" s="140">
        <v>45699</v>
      </c>
      <c r="H44" s="117">
        <v>1</v>
      </c>
      <c r="I44" s="62">
        <v>5</v>
      </c>
      <c r="J44" s="62">
        <v>0</v>
      </c>
      <c r="K44" s="62">
        <v>0</v>
      </c>
      <c r="L44" s="62">
        <v>0</v>
      </c>
      <c r="M44" s="62">
        <v>0</v>
      </c>
      <c r="N44" s="62">
        <v>5.11091868132727</v>
      </c>
      <c r="O44" s="62">
        <v>0</v>
      </c>
      <c r="P44" s="62">
        <v>1</v>
      </c>
      <c r="Q44" s="62">
        <v>0</v>
      </c>
      <c r="R44" s="88">
        <v>-0.519995374629733</v>
      </c>
      <c r="S44" s="117">
        <v>600</v>
      </c>
      <c r="T44" s="62">
        <f>13+3+2+6+3+45+2+1+2+1+2+13+6+1+1+8+25+15+2+35+4+2+3+18+2+30+2+1+2+4+6+1+1+6+4+1+1+4</f>
        <v>278</v>
      </c>
      <c r="U44" s="272">
        <v>77</v>
      </c>
      <c r="V44" s="272">
        <v>0</v>
      </c>
      <c r="W44" s="272">
        <v>1</v>
      </c>
      <c r="X44" s="272">
        <v>1</v>
      </c>
      <c r="Y44" s="272">
        <v>0</v>
      </c>
      <c r="Z44" s="117">
        <v>2.6793347573773998</v>
      </c>
      <c r="AA44" s="117">
        <v>0</v>
      </c>
      <c r="AB44" s="117">
        <v>1</v>
      </c>
      <c r="AC44" s="117">
        <v>0</v>
      </c>
      <c r="AD44" s="88" t="s">
        <v>1143</v>
      </c>
      <c r="AE44" s="117">
        <f>159-82</f>
        <v>77</v>
      </c>
      <c r="AF44" s="88">
        <v>600</v>
      </c>
      <c r="AG44" s="88">
        <v>6</v>
      </c>
      <c r="AH44" s="88">
        <v>7</v>
      </c>
      <c r="AI44" s="88">
        <v>3</v>
      </c>
      <c r="AJ44" s="88">
        <v>1</v>
      </c>
      <c r="AK44" s="62" t="s">
        <v>25</v>
      </c>
      <c r="AL44" s="62">
        <v>5</v>
      </c>
      <c r="AM44" s="62">
        <v>5</v>
      </c>
      <c r="AN44" s="62">
        <v>5</v>
      </c>
      <c r="AO44" s="62" t="s">
        <v>624</v>
      </c>
    </row>
    <row r="45" spans="1:41">
      <c r="A45" s="137" t="s">
        <v>1082</v>
      </c>
      <c r="B45" s="117" t="s">
        <v>17</v>
      </c>
      <c r="C45" s="117" t="s">
        <v>1071</v>
      </c>
      <c r="D45" s="88">
        <f t="shared" si="0"/>
        <v>56</v>
      </c>
      <c r="E45" s="140">
        <v>45643</v>
      </c>
      <c r="F45" s="140">
        <v>45699</v>
      </c>
      <c r="H45" s="117">
        <v>1</v>
      </c>
      <c r="I45" s="62">
        <v>5</v>
      </c>
      <c r="J45" s="62">
        <v>0</v>
      </c>
      <c r="K45" s="62">
        <v>0</v>
      </c>
      <c r="L45" s="62">
        <v>0</v>
      </c>
      <c r="M45" s="62">
        <v>0</v>
      </c>
      <c r="N45" s="62">
        <v>5.7666975741403101</v>
      </c>
      <c r="O45" s="62">
        <v>1</v>
      </c>
      <c r="P45" s="62">
        <v>1</v>
      </c>
      <c r="Q45" s="62">
        <v>1</v>
      </c>
      <c r="R45" s="88">
        <v>-0.52581736460601003</v>
      </c>
      <c r="S45" s="117">
        <v>4</v>
      </c>
      <c r="T45" s="62">
        <v>2.5</v>
      </c>
      <c r="U45" s="272">
        <f>5*60+27</f>
        <v>327</v>
      </c>
      <c r="V45" s="272">
        <v>5</v>
      </c>
      <c r="W45" s="272">
        <v>5</v>
      </c>
      <c r="X45" s="272">
        <v>1</v>
      </c>
      <c r="Y45" s="272">
        <v>3</v>
      </c>
      <c r="Z45" s="117">
        <v>5.1945488155707604</v>
      </c>
      <c r="AA45" s="117">
        <v>3</v>
      </c>
      <c r="AB45" s="117">
        <v>3</v>
      </c>
      <c r="AC45" s="117">
        <v>5</v>
      </c>
      <c r="AD45" s="88" t="s">
        <v>1144</v>
      </c>
      <c r="AE45" s="117">
        <f>600-327</f>
        <v>273</v>
      </c>
      <c r="AF45" s="88">
        <f>3*60+45</f>
        <v>225</v>
      </c>
      <c r="AG45" s="88">
        <v>4</v>
      </c>
      <c r="AH45" s="88">
        <v>3</v>
      </c>
      <c r="AI45" s="88">
        <v>0</v>
      </c>
      <c r="AJ45" s="88">
        <v>5</v>
      </c>
      <c r="AK45" s="88" t="s">
        <v>1182</v>
      </c>
      <c r="AL45" s="88">
        <v>3</v>
      </c>
      <c r="AM45" s="88">
        <v>3</v>
      </c>
      <c r="AN45" s="88">
        <v>2</v>
      </c>
      <c r="AO45" s="88" t="s">
        <v>1211</v>
      </c>
    </row>
    <row r="46" spans="1:41">
      <c r="A46" s="137" t="s">
        <v>1083</v>
      </c>
      <c r="B46" s="117" t="s">
        <v>17</v>
      </c>
      <c r="C46" s="117" t="s">
        <v>1071</v>
      </c>
      <c r="D46" s="88">
        <f t="shared" si="0"/>
        <v>56</v>
      </c>
      <c r="E46" s="140">
        <v>45643</v>
      </c>
      <c r="F46" s="140">
        <v>45699</v>
      </c>
      <c r="H46" s="117">
        <v>1</v>
      </c>
      <c r="I46" s="62">
        <v>2</v>
      </c>
      <c r="J46" s="62">
        <v>0</v>
      </c>
      <c r="K46" s="62">
        <v>0</v>
      </c>
      <c r="L46" s="62">
        <v>0</v>
      </c>
      <c r="M46" s="62">
        <v>0</v>
      </c>
      <c r="N46" s="62">
        <v>10.357176474165501</v>
      </c>
      <c r="O46" s="62">
        <v>0</v>
      </c>
      <c r="P46" s="62">
        <v>1</v>
      </c>
      <c r="Q46" s="62">
        <v>0</v>
      </c>
      <c r="R46" s="88">
        <v>-0.59396994685458904</v>
      </c>
      <c r="S46" s="117">
        <v>11</v>
      </c>
      <c r="T46" s="62">
        <v>5</v>
      </c>
      <c r="U46" s="272">
        <v>5</v>
      </c>
      <c r="V46" s="272">
        <v>0</v>
      </c>
      <c r="W46" s="272">
        <v>0</v>
      </c>
      <c r="X46" s="272">
        <v>0</v>
      </c>
      <c r="Y46" s="272">
        <v>0</v>
      </c>
      <c r="Z46" s="117">
        <v>8.1886123764845404</v>
      </c>
      <c r="AA46" s="117">
        <v>0</v>
      </c>
      <c r="AB46" s="117">
        <v>1</v>
      </c>
      <c r="AC46" s="117">
        <v>0</v>
      </c>
      <c r="AD46" s="88" t="s">
        <v>1145</v>
      </c>
      <c r="AE46" s="117">
        <v>19</v>
      </c>
      <c r="AF46" s="88">
        <v>4</v>
      </c>
      <c r="AG46" s="88">
        <v>0</v>
      </c>
      <c r="AH46" s="88">
        <v>0</v>
      </c>
      <c r="AI46" s="88">
        <v>0</v>
      </c>
      <c r="AJ46" s="88">
        <v>0</v>
      </c>
      <c r="AK46" s="88" t="s">
        <v>1183</v>
      </c>
      <c r="AL46" s="88">
        <v>0</v>
      </c>
      <c r="AM46" s="88">
        <v>1</v>
      </c>
      <c r="AN46" s="88">
        <v>0</v>
      </c>
      <c r="AO46" s="88" t="s">
        <v>1212</v>
      </c>
    </row>
    <row r="47" spans="1:41">
      <c r="A47" s="82" t="s">
        <v>1084</v>
      </c>
      <c r="B47" s="83" t="s">
        <v>17</v>
      </c>
      <c r="C47" s="83" t="s">
        <v>1037</v>
      </c>
      <c r="D47" s="45">
        <f t="shared" si="0"/>
        <v>56</v>
      </c>
      <c r="E47" s="85">
        <v>45643</v>
      </c>
      <c r="F47" s="85">
        <v>45699</v>
      </c>
      <c r="H47" s="83">
        <v>0</v>
      </c>
      <c r="I47" s="14">
        <v>12</v>
      </c>
      <c r="J47" s="14">
        <v>1</v>
      </c>
      <c r="K47" s="14">
        <v>1</v>
      </c>
      <c r="L47" s="14">
        <v>0</v>
      </c>
      <c r="M47" s="14">
        <v>0</v>
      </c>
      <c r="N47" s="14">
        <v>6.8642461193295503</v>
      </c>
      <c r="O47" s="14">
        <v>2</v>
      </c>
      <c r="P47" s="14">
        <v>2</v>
      </c>
      <c r="Q47" s="14">
        <v>1</v>
      </c>
      <c r="R47" s="45">
        <v>-0.25667353979005603</v>
      </c>
      <c r="S47" s="83">
        <v>32</v>
      </c>
      <c r="T47" s="14">
        <v>19.5</v>
      </c>
      <c r="U47" s="256">
        <v>72</v>
      </c>
      <c r="V47" s="256">
        <v>2</v>
      </c>
      <c r="W47" s="256">
        <v>1</v>
      </c>
      <c r="X47" s="256">
        <v>0</v>
      </c>
      <c r="Y47" s="256">
        <v>0</v>
      </c>
      <c r="Z47" s="83">
        <v>1.55094230053118</v>
      </c>
      <c r="AA47" s="83">
        <v>2</v>
      </c>
      <c r="AB47" s="83">
        <v>3</v>
      </c>
      <c r="AC47" s="83">
        <v>3</v>
      </c>
      <c r="AD47" s="45" t="s">
        <v>1146</v>
      </c>
      <c r="AE47" s="83">
        <f>600-72</f>
        <v>528</v>
      </c>
      <c r="AF47" s="45">
        <v>55</v>
      </c>
      <c r="AG47" s="45">
        <v>4</v>
      </c>
      <c r="AH47" s="45">
        <v>3</v>
      </c>
      <c r="AI47" s="45">
        <v>2</v>
      </c>
      <c r="AJ47" s="45">
        <v>1</v>
      </c>
      <c r="AK47" s="45" t="s">
        <v>1184</v>
      </c>
      <c r="AL47" s="45">
        <v>0</v>
      </c>
      <c r="AM47" s="45">
        <v>2</v>
      </c>
      <c r="AN47" s="45">
        <v>1</v>
      </c>
      <c r="AO47" s="45" t="s">
        <v>1213</v>
      </c>
    </row>
    <row r="48" spans="1:41">
      <c r="A48" s="137" t="s">
        <v>1085</v>
      </c>
      <c r="B48" s="117" t="s">
        <v>17</v>
      </c>
      <c r="C48" s="117" t="s">
        <v>1071</v>
      </c>
      <c r="D48" s="88">
        <f t="shared" si="0"/>
        <v>56</v>
      </c>
      <c r="E48" s="140">
        <v>45643</v>
      </c>
      <c r="F48" s="140">
        <v>45699</v>
      </c>
      <c r="H48" s="117">
        <v>1</v>
      </c>
      <c r="I48" s="62">
        <v>3</v>
      </c>
      <c r="J48" s="62">
        <v>0</v>
      </c>
      <c r="K48" s="62">
        <v>0</v>
      </c>
      <c r="L48" s="62">
        <v>0</v>
      </c>
      <c r="M48" s="62">
        <v>0</v>
      </c>
      <c r="N48" s="62">
        <v>11.0817711066145</v>
      </c>
      <c r="O48" s="62">
        <v>0</v>
      </c>
      <c r="P48" s="62">
        <v>1</v>
      </c>
      <c r="Q48" s="62">
        <v>0</v>
      </c>
      <c r="R48" s="88">
        <v>-0.60386394789434605</v>
      </c>
      <c r="S48" s="117">
        <v>600</v>
      </c>
      <c r="T48" s="62">
        <f>3+3+4+2+2+4+6+5+2</f>
        <v>31</v>
      </c>
      <c r="U48" s="272">
        <v>3</v>
      </c>
      <c r="V48" s="272">
        <v>1</v>
      </c>
      <c r="W48" s="272">
        <v>0</v>
      </c>
      <c r="X48" s="272">
        <v>0</v>
      </c>
      <c r="Y48" s="272">
        <v>0</v>
      </c>
      <c r="Z48" s="117">
        <v>12.9042107795308</v>
      </c>
      <c r="AA48" s="117">
        <v>1</v>
      </c>
      <c r="AB48" s="117">
        <v>1</v>
      </c>
      <c r="AC48" s="117">
        <v>1</v>
      </c>
      <c r="AD48" s="88" t="s">
        <v>1147</v>
      </c>
      <c r="AE48" s="117">
        <v>600</v>
      </c>
      <c r="AF48" s="88">
        <v>15</v>
      </c>
      <c r="AG48" s="88">
        <v>0</v>
      </c>
      <c r="AH48" s="88">
        <v>0</v>
      </c>
      <c r="AI48" s="88">
        <v>0</v>
      </c>
      <c r="AJ48" s="88">
        <v>0</v>
      </c>
      <c r="AK48" s="88" t="s">
        <v>1185</v>
      </c>
      <c r="AL48" s="88">
        <v>0</v>
      </c>
      <c r="AM48" s="88">
        <v>1</v>
      </c>
      <c r="AN48" s="88">
        <v>0</v>
      </c>
      <c r="AO48" s="88" t="s">
        <v>1214</v>
      </c>
    </row>
    <row r="49" spans="1:41">
      <c r="A49" s="137" t="s">
        <v>1086</v>
      </c>
      <c r="B49" s="117" t="s">
        <v>17</v>
      </c>
      <c r="C49" s="117" t="s">
        <v>1071</v>
      </c>
      <c r="D49" s="88">
        <f t="shared" si="0"/>
        <v>58</v>
      </c>
      <c r="E49" s="140">
        <v>45643</v>
      </c>
      <c r="F49" s="140">
        <v>45701</v>
      </c>
      <c r="H49" s="117">
        <v>1</v>
      </c>
      <c r="I49" s="62">
        <v>3</v>
      </c>
      <c r="J49" s="62">
        <v>0</v>
      </c>
      <c r="K49" s="62">
        <v>0</v>
      </c>
      <c r="L49" s="62">
        <v>0</v>
      </c>
      <c r="M49" s="62">
        <v>0</v>
      </c>
      <c r="N49" s="62">
        <v>8.3323666464078006</v>
      </c>
      <c r="O49" s="62">
        <v>0</v>
      </c>
      <c r="P49" s="62">
        <v>1</v>
      </c>
      <c r="Q49" s="62">
        <v>0</v>
      </c>
      <c r="R49" s="88">
        <v>-0.56545528895677399</v>
      </c>
      <c r="S49" s="117">
        <v>276</v>
      </c>
      <c r="T49" s="62">
        <f>10+26+4+12+11+20+2+4+2+2+5+2+5+8+3+1+1+18+8+8</f>
        <v>152</v>
      </c>
      <c r="U49" s="272">
        <f>4*60+10</f>
        <v>250</v>
      </c>
      <c r="V49" s="272">
        <v>5</v>
      </c>
      <c r="W49" s="272">
        <v>4</v>
      </c>
      <c r="X49" s="272">
        <v>1</v>
      </c>
      <c r="Y49" s="272">
        <v>2</v>
      </c>
      <c r="Z49" s="117">
        <v>7.2476842317371304</v>
      </c>
      <c r="AA49" s="117">
        <v>3</v>
      </c>
      <c r="AB49" s="117">
        <v>3</v>
      </c>
      <c r="AC49" s="117">
        <v>2</v>
      </c>
      <c r="AD49" s="88" t="s">
        <v>1148</v>
      </c>
      <c r="AE49" s="117">
        <v>123</v>
      </c>
      <c r="AF49" s="88">
        <v>2</v>
      </c>
      <c r="AG49" s="88">
        <v>0</v>
      </c>
      <c r="AH49" s="88">
        <v>0</v>
      </c>
      <c r="AI49" s="88">
        <v>0</v>
      </c>
      <c r="AJ49" s="88">
        <v>0</v>
      </c>
      <c r="AK49" s="88" t="s">
        <v>1186</v>
      </c>
      <c r="AL49" s="88">
        <v>0</v>
      </c>
      <c r="AM49" s="88">
        <v>1</v>
      </c>
      <c r="AN49" s="88">
        <v>0</v>
      </c>
      <c r="AO49" s="88" t="s">
        <v>1215</v>
      </c>
    </row>
    <row r="50" spans="1:41">
      <c r="A50" s="137" t="s">
        <v>1087</v>
      </c>
      <c r="B50" s="117" t="s">
        <v>17</v>
      </c>
      <c r="C50" s="117" t="s">
        <v>1071</v>
      </c>
      <c r="D50" s="88">
        <f t="shared" si="0"/>
        <v>58</v>
      </c>
      <c r="E50" s="140">
        <v>45643</v>
      </c>
      <c r="F50" s="140">
        <v>45701</v>
      </c>
      <c r="H50" s="117">
        <v>1</v>
      </c>
      <c r="I50" s="62">
        <v>3</v>
      </c>
      <c r="J50" s="62">
        <v>0</v>
      </c>
      <c r="K50" s="62">
        <v>0</v>
      </c>
      <c r="L50" s="62">
        <v>0</v>
      </c>
      <c r="M50" s="62">
        <v>0</v>
      </c>
      <c r="N50" s="62">
        <v>7.6343425408471601</v>
      </c>
      <c r="O50" s="62">
        <v>0</v>
      </c>
      <c r="P50" s="62">
        <v>1</v>
      </c>
      <c r="Q50" s="62">
        <v>0</v>
      </c>
      <c r="R50" s="88">
        <v>-0.555704024568897</v>
      </c>
      <c r="S50" s="117">
        <v>600</v>
      </c>
      <c r="T50" s="62">
        <f>3+2+2+6+1+2+2+3+5+10+10+3+5+3+2+4+8+5</f>
        <v>76</v>
      </c>
      <c r="U50" s="272">
        <v>3</v>
      </c>
      <c r="V50" s="272">
        <v>0</v>
      </c>
      <c r="W50" s="272">
        <v>0</v>
      </c>
      <c r="X50" s="272">
        <v>0</v>
      </c>
      <c r="Y50" s="272">
        <v>0</v>
      </c>
      <c r="Z50" s="117">
        <v>13.7185456117314</v>
      </c>
      <c r="AA50" s="117">
        <v>0</v>
      </c>
      <c r="AB50" s="117">
        <v>1</v>
      </c>
      <c r="AC50" s="117">
        <v>1</v>
      </c>
      <c r="AD50" s="88" t="s">
        <v>1149</v>
      </c>
      <c r="AE50" s="117">
        <f>52-7</f>
        <v>45</v>
      </c>
      <c r="AF50" s="88">
        <v>600</v>
      </c>
      <c r="AG50" s="88">
        <v>11</v>
      </c>
      <c r="AH50" s="88">
        <v>9</v>
      </c>
      <c r="AI50" s="88">
        <v>4</v>
      </c>
      <c r="AJ50" s="88">
        <v>6</v>
      </c>
      <c r="AK50" s="62" t="s">
        <v>25</v>
      </c>
      <c r="AL50" s="62">
        <v>5</v>
      </c>
      <c r="AM50" s="62">
        <v>5</v>
      </c>
      <c r="AN50" s="62">
        <v>5</v>
      </c>
      <c r="AO50" s="88" t="s">
        <v>26</v>
      </c>
    </row>
    <row r="51" spans="1:41">
      <c r="A51" s="137" t="s">
        <v>1088</v>
      </c>
      <c r="B51" s="117" t="s">
        <v>17</v>
      </c>
      <c r="C51" s="117" t="s">
        <v>1071</v>
      </c>
      <c r="D51" s="88">
        <f t="shared" si="0"/>
        <v>58</v>
      </c>
      <c r="E51" s="140">
        <v>45643</v>
      </c>
      <c r="F51" s="140">
        <v>45701</v>
      </c>
      <c r="H51" s="117">
        <v>1</v>
      </c>
      <c r="I51" s="62">
        <v>11</v>
      </c>
      <c r="J51" s="62">
        <v>0</v>
      </c>
      <c r="K51" s="62">
        <v>0</v>
      </c>
      <c r="L51" s="62">
        <v>0</v>
      </c>
      <c r="M51" s="62">
        <v>0</v>
      </c>
      <c r="N51" s="62">
        <v>3.3720474741542801</v>
      </c>
      <c r="O51" s="62">
        <v>0</v>
      </c>
      <c r="P51" s="62">
        <v>1</v>
      </c>
      <c r="Q51" s="62">
        <v>1</v>
      </c>
      <c r="R51" s="88">
        <v>-0.50379287237985204</v>
      </c>
      <c r="S51" s="117">
        <v>236</v>
      </c>
      <c r="T51" s="62">
        <f>3+4+2</f>
        <v>9</v>
      </c>
      <c r="U51" s="272">
        <f>350</f>
        <v>350</v>
      </c>
      <c r="V51" s="272">
        <v>3</v>
      </c>
      <c r="W51" s="272">
        <v>5</v>
      </c>
      <c r="X51" s="272">
        <v>2</v>
      </c>
      <c r="Y51" s="272">
        <v>7</v>
      </c>
      <c r="Z51" s="117">
        <v>2.5567686320520702</v>
      </c>
      <c r="AA51" s="117">
        <v>3</v>
      </c>
      <c r="AB51" s="117">
        <v>3</v>
      </c>
      <c r="AC51" s="117">
        <v>2</v>
      </c>
      <c r="AD51" s="88" t="s">
        <v>1150</v>
      </c>
      <c r="AE51" s="117">
        <v>5</v>
      </c>
      <c r="AF51" s="88">
        <v>175</v>
      </c>
      <c r="AG51" s="88">
        <v>7</v>
      </c>
      <c r="AH51" s="88">
        <v>3</v>
      </c>
      <c r="AI51" s="88">
        <v>3</v>
      </c>
      <c r="AJ51" s="88">
        <v>1</v>
      </c>
      <c r="AK51" s="88" t="s">
        <v>1187</v>
      </c>
      <c r="AL51" s="88">
        <v>1</v>
      </c>
      <c r="AM51" s="88">
        <v>1</v>
      </c>
      <c r="AN51" s="88">
        <v>2</v>
      </c>
      <c r="AO51" s="88" t="s">
        <v>1216</v>
      </c>
    </row>
    <row r="52" spans="1:41">
      <c r="A52" s="137" t="s">
        <v>1089</v>
      </c>
      <c r="B52" s="117" t="s">
        <v>41</v>
      </c>
      <c r="C52" s="117" t="s">
        <v>1071</v>
      </c>
      <c r="D52" s="88">
        <f t="shared" si="0"/>
        <v>58</v>
      </c>
      <c r="E52" s="140">
        <v>45643</v>
      </c>
      <c r="F52" s="140">
        <v>45701</v>
      </c>
      <c r="H52" s="117">
        <v>1</v>
      </c>
      <c r="I52" s="62">
        <v>6</v>
      </c>
      <c r="J52" s="62">
        <v>0</v>
      </c>
      <c r="K52" s="62">
        <v>0</v>
      </c>
      <c r="L52" s="62">
        <v>0</v>
      </c>
      <c r="M52" s="62">
        <v>0</v>
      </c>
      <c r="N52" s="62">
        <v>6.0278174246663498</v>
      </c>
      <c r="O52" s="62">
        <v>0</v>
      </c>
      <c r="P52" s="62">
        <v>1</v>
      </c>
      <c r="Q52" s="62">
        <v>0</v>
      </c>
      <c r="R52" s="88">
        <v>-0.53257582763185995</v>
      </c>
      <c r="S52" s="117">
        <v>600</v>
      </c>
      <c r="T52" s="62">
        <f>2+2+2+1+2+2+2+2+12+10</f>
        <v>37</v>
      </c>
      <c r="U52" s="272">
        <f>4*60+17</f>
        <v>257</v>
      </c>
      <c r="V52" s="272">
        <v>2</v>
      </c>
      <c r="W52" s="272">
        <v>2</v>
      </c>
      <c r="X52" s="272">
        <v>0</v>
      </c>
      <c r="Y52" s="272">
        <v>1</v>
      </c>
      <c r="Z52" s="117">
        <v>3.5386023784676</v>
      </c>
      <c r="AA52" s="117">
        <v>3</v>
      </c>
      <c r="AB52" s="117">
        <v>2</v>
      </c>
      <c r="AC52" s="117">
        <v>1</v>
      </c>
      <c r="AD52" s="88" t="s">
        <v>1151</v>
      </c>
      <c r="AE52" s="117">
        <f>49-21</f>
        <v>28</v>
      </c>
      <c r="AF52" s="88">
        <v>148</v>
      </c>
      <c r="AG52" s="88">
        <v>3</v>
      </c>
      <c r="AH52" s="88">
        <v>3</v>
      </c>
      <c r="AI52" s="88">
        <v>0</v>
      </c>
      <c r="AJ52" s="88">
        <v>0</v>
      </c>
      <c r="AK52" s="88" t="s">
        <v>1188</v>
      </c>
      <c r="AL52" s="88">
        <v>4</v>
      </c>
      <c r="AM52" s="88">
        <v>3</v>
      </c>
      <c r="AN52" s="88">
        <v>3</v>
      </c>
      <c r="AO52" s="88" t="s">
        <v>1217</v>
      </c>
    </row>
    <row r="53" spans="1:41">
      <c r="A53" s="137" t="s">
        <v>1090</v>
      </c>
      <c r="B53" s="117" t="s">
        <v>41</v>
      </c>
      <c r="C53" s="117" t="s">
        <v>1071</v>
      </c>
      <c r="D53" s="88">
        <f t="shared" si="0"/>
        <v>58</v>
      </c>
      <c r="E53" s="140">
        <v>45643</v>
      </c>
      <c r="F53" s="140">
        <v>45701</v>
      </c>
      <c r="H53" s="117">
        <v>1</v>
      </c>
      <c r="I53" s="62">
        <v>11</v>
      </c>
      <c r="J53" s="62">
        <v>0</v>
      </c>
      <c r="K53" s="62">
        <v>0</v>
      </c>
      <c r="L53" s="62">
        <v>0</v>
      </c>
      <c r="M53" s="62">
        <v>0</v>
      </c>
      <c r="N53" s="62">
        <v>2.2308570166431299</v>
      </c>
      <c r="O53" s="62">
        <v>0</v>
      </c>
      <c r="P53" s="62">
        <v>1</v>
      </c>
      <c r="Q53" s="62">
        <v>0</v>
      </c>
      <c r="R53" s="88">
        <v>-0.47839076790125501</v>
      </c>
      <c r="S53" s="117">
        <v>3.5</v>
      </c>
      <c r="T53" s="62">
        <v>1</v>
      </c>
      <c r="U53" s="272">
        <v>4</v>
      </c>
      <c r="V53" s="272">
        <v>0</v>
      </c>
      <c r="W53" s="272">
        <v>0</v>
      </c>
      <c r="X53" s="272">
        <v>0</v>
      </c>
      <c r="Y53" s="272">
        <v>0</v>
      </c>
      <c r="Z53" s="117">
        <v>5.6552213449734499</v>
      </c>
      <c r="AA53" s="117">
        <v>0</v>
      </c>
      <c r="AB53" s="117">
        <v>1</v>
      </c>
      <c r="AC53" s="117">
        <v>1</v>
      </c>
      <c r="AD53" s="88" t="s">
        <v>1152</v>
      </c>
      <c r="AE53" s="117">
        <f>60+50</f>
        <v>110</v>
      </c>
      <c r="AF53" s="88">
        <v>4</v>
      </c>
      <c r="AG53" s="88">
        <v>0</v>
      </c>
      <c r="AH53" s="88">
        <v>0</v>
      </c>
      <c r="AI53" s="88">
        <v>0</v>
      </c>
      <c r="AJ53" s="88">
        <v>0</v>
      </c>
      <c r="AK53" s="88" t="s">
        <v>1189</v>
      </c>
      <c r="AL53" s="88">
        <v>0</v>
      </c>
      <c r="AM53" s="88">
        <v>1</v>
      </c>
      <c r="AN53" s="88">
        <v>0</v>
      </c>
      <c r="AO53" s="88" t="s">
        <v>1218</v>
      </c>
    </row>
    <row r="54" spans="1:41">
      <c r="A54" s="137" t="s">
        <v>1091</v>
      </c>
      <c r="B54" s="117" t="s">
        <v>41</v>
      </c>
      <c r="C54" s="117" t="s">
        <v>1071</v>
      </c>
      <c r="D54" s="88">
        <f t="shared" si="0"/>
        <v>58</v>
      </c>
      <c r="E54" s="140">
        <v>45643</v>
      </c>
      <c r="F54" s="140">
        <v>45701</v>
      </c>
      <c r="H54" s="117">
        <v>1</v>
      </c>
      <c r="I54" s="62">
        <v>7</v>
      </c>
      <c r="J54" s="62">
        <v>0</v>
      </c>
      <c r="K54" s="62">
        <v>0</v>
      </c>
      <c r="L54" s="62">
        <v>0</v>
      </c>
      <c r="M54" s="62">
        <v>0</v>
      </c>
      <c r="N54" s="62">
        <v>8.0129532648222295</v>
      </c>
      <c r="O54" s="62">
        <v>0</v>
      </c>
      <c r="P54" s="62">
        <v>1</v>
      </c>
      <c r="Q54" s="62">
        <v>0</v>
      </c>
      <c r="R54" s="88">
        <v>-0.56007935030595901</v>
      </c>
      <c r="S54" s="117">
        <v>87</v>
      </c>
      <c r="T54" s="62">
        <f>4+2+1+4+3+16+2+3+6+3</f>
        <v>44</v>
      </c>
      <c r="U54" s="272">
        <f>70</f>
        <v>70</v>
      </c>
      <c r="V54" s="272">
        <v>1</v>
      </c>
      <c r="W54" s="272">
        <v>0</v>
      </c>
      <c r="X54" s="272">
        <v>0</v>
      </c>
      <c r="Y54" s="272">
        <v>1</v>
      </c>
      <c r="Z54" s="117">
        <v>6.5667342374744999</v>
      </c>
      <c r="AA54" s="117">
        <v>0</v>
      </c>
      <c r="AB54" s="117">
        <v>1</v>
      </c>
      <c r="AC54" s="117">
        <v>0</v>
      </c>
      <c r="AD54" s="88" t="s">
        <v>1153</v>
      </c>
      <c r="AE54" s="117">
        <v>0.5</v>
      </c>
      <c r="AF54" s="88">
        <v>240</v>
      </c>
      <c r="AG54" s="88">
        <v>6</v>
      </c>
      <c r="AH54" s="88">
        <v>5</v>
      </c>
      <c r="AI54" s="88">
        <v>0</v>
      </c>
      <c r="AJ54" s="88">
        <v>4</v>
      </c>
      <c r="AK54" s="88" t="s">
        <v>1190</v>
      </c>
      <c r="AL54" s="88">
        <v>2</v>
      </c>
      <c r="AM54" s="88">
        <v>3</v>
      </c>
      <c r="AN54" s="88">
        <v>3</v>
      </c>
      <c r="AO54" s="88" t="s">
        <v>1219</v>
      </c>
    </row>
    <row r="55" spans="1:41">
      <c r="A55" s="137" t="s">
        <v>1092</v>
      </c>
      <c r="B55" s="117" t="s">
        <v>41</v>
      </c>
      <c r="C55" s="117" t="s">
        <v>1071</v>
      </c>
      <c r="D55" s="88">
        <f t="shared" si="0"/>
        <v>58</v>
      </c>
      <c r="E55" s="140">
        <v>45643</v>
      </c>
      <c r="F55" s="140">
        <v>45701</v>
      </c>
      <c r="H55" s="117">
        <v>1</v>
      </c>
      <c r="I55" s="62">
        <v>32</v>
      </c>
      <c r="J55" s="62">
        <v>0</v>
      </c>
      <c r="K55" s="62">
        <v>0</v>
      </c>
      <c r="L55" s="62">
        <v>0</v>
      </c>
      <c r="M55" s="62">
        <v>0</v>
      </c>
      <c r="N55" s="62">
        <v>2.64120353091328</v>
      </c>
      <c r="O55" s="62">
        <v>0</v>
      </c>
      <c r="P55" s="62">
        <v>1</v>
      </c>
      <c r="Q55" s="62">
        <v>0</v>
      </c>
      <c r="R55" s="88">
        <v>-0.479325810917896</v>
      </c>
      <c r="S55" s="117">
        <v>408</v>
      </c>
      <c r="T55" s="62">
        <f>30+22+10+30+1+1+1+1+1+12+1+14+3+24+8+4+4+12+8+4+1+2+7+2+2+2+10+8</f>
        <v>225</v>
      </c>
      <c r="U55" s="272">
        <v>599</v>
      </c>
      <c r="V55" s="272">
        <v>18</v>
      </c>
      <c r="W55" s="272">
        <v>13</v>
      </c>
      <c r="X55" s="272">
        <v>1</v>
      </c>
      <c r="Y55" s="272">
        <v>6</v>
      </c>
      <c r="Z55" s="117">
        <v>3.10616328946892</v>
      </c>
      <c r="AA55" s="117">
        <v>3</v>
      </c>
      <c r="AB55" s="117">
        <v>2</v>
      </c>
      <c r="AC55" s="117">
        <v>1</v>
      </c>
      <c r="AD55" s="88" t="s">
        <v>1154</v>
      </c>
      <c r="AE55" s="117">
        <v>30</v>
      </c>
      <c r="AF55" s="88">
        <f>8*60+2</f>
        <v>482</v>
      </c>
      <c r="AG55" s="88">
        <v>10</v>
      </c>
      <c r="AH55" s="88">
        <v>10</v>
      </c>
      <c r="AI55" s="88">
        <v>3</v>
      </c>
      <c r="AJ55" s="88">
        <v>1</v>
      </c>
      <c r="AK55" s="88" t="s">
        <v>1191</v>
      </c>
      <c r="AL55" s="88">
        <v>4</v>
      </c>
      <c r="AM55" s="88">
        <v>3</v>
      </c>
      <c r="AN55" s="88">
        <v>3</v>
      </c>
      <c r="AO55" s="88" t="s">
        <v>1220</v>
      </c>
    </row>
    <row r="56" spans="1:41">
      <c r="A56" s="82" t="s">
        <v>1093</v>
      </c>
      <c r="B56" s="83" t="s">
        <v>41</v>
      </c>
      <c r="C56" s="83" t="s">
        <v>1094</v>
      </c>
      <c r="D56" s="45">
        <f t="shared" si="0"/>
        <v>93</v>
      </c>
      <c r="E56" s="85">
        <v>45615</v>
      </c>
      <c r="F56" s="85">
        <v>45708</v>
      </c>
      <c r="H56" s="83">
        <v>0</v>
      </c>
      <c r="I56" s="14">
        <v>3</v>
      </c>
      <c r="J56" s="59">
        <v>0</v>
      </c>
      <c r="K56" s="59">
        <v>0</v>
      </c>
      <c r="L56" s="59">
        <v>0</v>
      </c>
      <c r="M56" s="59">
        <v>0</v>
      </c>
      <c r="N56" s="59">
        <v>4.1813004167158798</v>
      </c>
      <c r="O56" s="59">
        <v>0</v>
      </c>
      <c r="P56" s="59">
        <v>1</v>
      </c>
      <c r="Q56" s="14">
        <v>0</v>
      </c>
      <c r="R56" s="45">
        <v>-0.50746568089760702</v>
      </c>
      <c r="S56" s="83">
        <v>600</v>
      </c>
      <c r="T56" s="14">
        <f>80+20+30+36+4+30+32+5+6+12+2+3+12+2+11+2+27+4+3+5+13</f>
        <v>339</v>
      </c>
      <c r="U56" s="256">
        <v>600</v>
      </c>
      <c r="V56" s="256">
        <v>15</v>
      </c>
      <c r="W56" s="256">
        <v>16</v>
      </c>
      <c r="X56" s="256">
        <v>2</v>
      </c>
      <c r="Y56" s="256">
        <v>2</v>
      </c>
      <c r="Z56" s="83" t="s">
        <v>25</v>
      </c>
      <c r="AA56" s="83">
        <v>5</v>
      </c>
      <c r="AB56" s="83">
        <v>5</v>
      </c>
      <c r="AC56" s="83">
        <v>5</v>
      </c>
      <c r="AD56" s="45" t="s">
        <v>26</v>
      </c>
      <c r="AE56" s="187">
        <v>0</v>
      </c>
      <c r="AF56" s="45">
        <v>200</v>
      </c>
      <c r="AG56" s="45">
        <v>4</v>
      </c>
      <c r="AH56" s="45">
        <v>4</v>
      </c>
      <c r="AI56" s="45">
        <v>0</v>
      </c>
      <c r="AJ56" s="45">
        <v>2</v>
      </c>
      <c r="AK56" s="45" t="s">
        <v>1192</v>
      </c>
      <c r="AL56" s="45">
        <v>3</v>
      </c>
      <c r="AM56" s="45">
        <v>3</v>
      </c>
      <c r="AN56" s="45">
        <v>1</v>
      </c>
      <c r="AO56" s="45" t="s">
        <v>1221</v>
      </c>
    </row>
    <row r="57" spans="1:41">
      <c r="A57" s="13" t="s">
        <v>1095</v>
      </c>
      <c r="B57" s="83" t="s">
        <v>17</v>
      </c>
      <c r="C57" s="83" t="s">
        <v>1096</v>
      </c>
      <c r="D57" s="14"/>
      <c r="E57" s="14"/>
      <c r="F57" s="16">
        <v>45721</v>
      </c>
      <c r="H57" s="83">
        <v>0</v>
      </c>
      <c r="I57" s="14">
        <v>3</v>
      </c>
      <c r="J57" s="50">
        <v>0</v>
      </c>
      <c r="K57" s="50">
        <v>0</v>
      </c>
      <c r="L57" s="50">
        <v>0</v>
      </c>
      <c r="M57" s="50">
        <v>0</v>
      </c>
      <c r="N57" s="14">
        <v>4.5962162970631502</v>
      </c>
      <c r="O57" s="59">
        <v>0</v>
      </c>
      <c r="P57" s="59">
        <v>1</v>
      </c>
      <c r="Q57" s="14">
        <v>0</v>
      </c>
      <c r="R57" s="14" t="s">
        <v>1160</v>
      </c>
      <c r="S57" s="14">
        <v>600</v>
      </c>
      <c r="T57" s="14">
        <f>1+1+1+1+1+2+2+5+3+11+2+2+1+1+2+1+0.5+2+2+6+4+2+2+2+0.5+2+2+4+2+1+2+1+1+3</f>
        <v>76</v>
      </c>
      <c r="U57" s="45">
        <f>2*60+35</f>
        <v>155</v>
      </c>
      <c r="V57" s="45">
        <v>2</v>
      </c>
      <c r="W57" s="256">
        <v>3</v>
      </c>
      <c r="X57" s="256">
        <v>0</v>
      </c>
      <c r="Y57" s="256">
        <v>1</v>
      </c>
      <c r="Z57" s="151">
        <v>9.3839269823936906</v>
      </c>
      <c r="AA57" s="83">
        <v>0</v>
      </c>
      <c r="AB57" s="83">
        <v>1</v>
      </c>
      <c r="AC57" s="83">
        <v>0</v>
      </c>
      <c r="AD57" s="14" t="s">
        <v>1155</v>
      </c>
      <c r="AE57" s="45">
        <v>20</v>
      </c>
      <c r="AF57" s="14">
        <v>600</v>
      </c>
      <c r="AG57" s="14">
        <v>9</v>
      </c>
      <c r="AH57" s="14">
        <v>13</v>
      </c>
      <c r="AI57" s="14">
        <v>3</v>
      </c>
      <c r="AJ57" s="14">
        <v>2</v>
      </c>
      <c r="AK57" s="14" t="s">
        <v>25</v>
      </c>
      <c r="AL57" s="14">
        <v>5</v>
      </c>
      <c r="AM57" s="14">
        <v>5</v>
      </c>
      <c r="AN57" s="14">
        <v>5</v>
      </c>
      <c r="AO57" s="14" t="s">
        <v>26</v>
      </c>
    </row>
    <row r="58" spans="1:41">
      <c r="A58" s="13" t="s">
        <v>1097</v>
      </c>
      <c r="B58" s="83" t="s">
        <v>17</v>
      </c>
      <c r="C58" s="83" t="s">
        <v>1096</v>
      </c>
      <c r="D58" s="14"/>
      <c r="E58" s="14"/>
      <c r="F58" s="16">
        <v>45721</v>
      </c>
      <c r="H58" s="83">
        <v>0</v>
      </c>
      <c r="I58" s="14">
        <v>9</v>
      </c>
      <c r="J58" s="50">
        <v>0</v>
      </c>
      <c r="K58" s="50">
        <v>0</v>
      </c>
      <c r="L58" s="50">
        <v>0</v>
      </c>
      <c r="M58" s="50">
        <v>1</v>
      </c>
      <c r="N58" s="14">
        <v>13.740448171379899</v>
      </c>
      <c r="O58" s="59">
        <v>0</v>
      </c>
      <c r="P58" s="59">
        <v>1</v>
      </c>
      <c r="Q58" s="14">
        <v>0</v>
      </c>
      <c r="R58" s="14" t="s">
        <v>1161</v>
      </c>
      <c r="S58" s="14">
        <v>600</v>
      </c>
      <c r="T58" s="14">
        <f>0.2*15+0.5*22+1+12+1.5+2*7+3+3+4+20</f>
        <v>72.5</v>
      </c>
      <c r="U58" s="45">
        <v>5</v>
      </c>
      <c r="V58" s="14">
        <v>0</v>
      </c>
      <c r="W58" s="14">
        <v>0</v>
      </c>
      <c r="X58" s="14">
        <v>0</v>
      </c>
      <c r="Y58" s="14">
        <v>0</v>
      </c>
      <c r="Z58" s="151">
        <v>12.591652054478599</v>
      </c>
      <c r="AA58" s="83">
        <v>0</v>
      </c>
      <c r="AB58" s="83">
        <v>1</v>
      </c>
      <c r="AC58" s="83">
        <v>0</v>
      </c>
      <c r="AD58" s="14" t="s">
        <v>1156</v>
      </c>
      <c r="AE58" s="14">
        <v>1</v>
      </c>
      <c r="AF58" s="151">
        <v>600</v>
      </c>
      <c r="AG58" s="151">
        <v>10</v>
      </c>
      <c r="AH58" s="151">
        <v>10</v>
      </c>
      <c r="AI58" s="14">
        <v>3</v>
      </c>
      <c r="AJ58" s="14">
        <v>4</v>
      </c>
      <c r="AK58" s="14" t="s">
        <v>25</v>
      </c>
      <c r="AL58" s="14">
        <v>5</v>
      </c>
      <c r="AM58" s="14">
        <v>5</v>
      </c>
      <c r="AN58" s="14">
        <v>5</v>
      </c>
      <c r="AO58" s="14" t="s">
        <v>26</v>
      </c>
    </row>
    <row r="59" spans="1:41">
      <c r="A59" s="13" t="s">
        <v>1098</v>
      </c>
      <c r="B59" s="83" t="s">
        <v>41</v>
      </c>
      <c r="C59" s="83" t="s">
        <v>1096</v>
      </c>
      <c r="D59" s="14"/>
      <c r="E59" s="14"/>
      <c r="F59" s="16">
        <v>45722</v>
      </c>
      <c r="H59" s="83">
        <v>0</v>
      </c>
      <c r="I59" s="14">
        <v>44</v>
      </c>
      <c r="J59" s="50">
        <v>3</v>
      </c>
      <c r="K59" s="50">
        <v>3</v>
      </c>
      <c r="L59" s="50">
        <v>0</v>
      </c>
      <c r="M59" s="50">
        <v>0</v>
      </c>
      <c r="N59" s="14">
        <v>8.0725441439068906</v>
      </c>
      <c r="O59" s="59">
        <v>0</v>
      </c>
      <c r="P59" s="59">
        <v>1</v>
      </c>
      <c r="Q59" s="14">
        <v>0</v>
      </c>
      <c r="R59" s="14" t="s">
        <v>1162</v>
      </c>
      <c r="S59" s="14">
        <v>1.5</v>
      </c>
      <c r="T59" s="14">
        <v>1</v>
      </c>
      <c r="U59" s="45">
        <v>600</v>
      </c>
      <c r="V59" s="14">
        <v>8</v>
      </c>
      <c r="W59" s="14">
        <v>9</v>
      </c>
      <c r="X59" s="14">
        <v>0</v>
      </c>
      <c r="Y59" s="14">
        <v>4</v>
      </c>
      <c r="Z59" s="151" t="s">
        <v>25</v>
      </c>
      <c r="AA59" s="83">
        <v>5</v>
      </c>
      <c r="AB59" s="83">
        <v>5</v>
      </c>
      <c r="AC59" s="83">
        <v>5</v>
      </c>
      <c r="AD59" s="14" t="s">
        <v>42</v>
      </c>
      <c r="AE59" s="14">
        <v>0</v>
      </c>
      <c r="AF59" s="14">
        <v>36</v>
      </c>
      <c r="AG59" s="14">
        <v>1</v>
      </c>
      <c r="AH59" s="14">
        <v>2</v>
      </c>
      <c r="AI59" s="14">
        <v>1</v>
      </c>
      <c r="AJ59" s="14">
        <v>1</v>
      </c>
      <c r="AK59" s="14" t="s">
        <v>1193</v>
      </c>
      <c r="AL59" s="14">
        <v>0</v>
      </c>
      <c r="AM59" s="14">
        <v>1</v>
      </c>
      <c r="AN59" s="14">
        <v>0</v>
      </c>
      <c r="AO59" s="14" t="s">
        <v>1222</v>
      </c>
    </row>
    <row r="60" spans="1:41">
      <c r="A60" s="255" t="s">
        <v>1099</v>
      </c>
      <c r="B60" s="18" t="s">
        <v>41</v>
      </c>
      <c r="C60" s="21" t="s">
        <v>1100</v>
      </c>
      <c r="D60" s="18">
        <f>F60-E60</f>
        <v>58</v>
      </c>
      <c r="E60" s="19">
        <v>44854</v>
      </c>
      <c r="F60" s="19">
        <v>44912</v>
      </c>
      <c r="H60" s="18">
        <v>0</v>
      </c>
      <c r="I60" s="18">
        <v>4</v>
      </c>
      <c r="J60" s="18">
        <v>0</v>
      </c>
      <c r="K60" s="18">
        <v>0</v>
      </c>
      <c r="L60" s="48">
        <v>0</v>
      </c>
      <c r="M60" s="18">
        <v>0</v>
      </c>
      <c r="N60" s="18">
        <v>10.310316105374</v>
      </c>
      <c r="O60" s="18">
        <v>0</v>
      </c>
      <c r="P60" s="18">
        <v>1</v>
      </c>
      <c r="Q60" s="18">
        <v>1</v>
      </c>
      <c r="R60" s="18" t="s">
        <v>1163</v>
      </c>
      <c r="S60" s="18">
        <v>7</v>
      </c>
      <c r="T60" s="18">
        <v>1</v>
      </c>
      <c r="U60" s="20">
        <v>420</v>
      </c>
      <c r="V60" s="18">
        <v>13</v>
      </c>
      <c r="W60" s="18">
        <v>13</v>
      </c>
      <c r="X60" s="18">
        <v>4</v>
      </c>
      <c r="Y60" s="18">
        <v>9</v>
      </c>
      <c r="Z60" s="18">
        <v>4.3224216207435404</v>
      </c>
      <c r="AA60" s="18">
        <v>3</v>
      </c>
      <c r="AB60" s="18">
        <v>3</v>
      </c>
      <c r="AC60" s="18">
        <v>2</v>
      </c>
      <c r="AD60" s="18" t="s">
        <v>1157</v>
      </c>
      <c r="AE60" s="18"/>
      <c r="AF60" s="18">
        <v>32</v>
      </c>
      <c r="AG60" s="18">
        <v>0</v>
      </c>
      <c r="AH60" s="18">
        <v>1</v>
      </c>
      <c r="AI60" s="18">
        <v>0</v>
      </c>
      <c r="AJ60" s="18">
        <v>2</v>
      </c>
      <c r="AK60" s="18" t="s">
        <v>1194</v>
      </c>
      <c r="AL60" s="18">
        <v>3</v>
      </c>
      <c r="AM60" s="18">
        <v>2</v>
      </c>
      <c r="AN60" s="18">
        <v>1</v>
      </c>
      <c r="AO60" s="18" t="s">
        <v>1223</v>
      </c>
    </row>
    <row r="61" spans="1:41">
      <c r="A61" s="255" t="s">
        <v>1101</v>
      </c>
      <c r="B61" s="18" t="s">
        <v>41</v>
      </c>
      <c r="C61" s="21" t="s">
        <v>1100</v>
      </c>
      <c r="D61" s="18">
        <f>F61-E61</f>
        <v>58</v>
      </c>
      <c r="E61" s="19">
        <v>44854</v>
      </c>
      <c r="F61" s="19">
        <v>44912</v>
      </c>
      <c r="H61" s="18">
        <v>0</v>
      </c>
      <c r="I61" s="18">
        <v>10</v>
      </c>
      <c r="J61" s="18">
        <v>1</v>
      </c>
      <c r="K61" s="18">
        <v>0</v>
      </c>
      <c r="L61" s="48">
        <v>0</v>
      </c>
      <c r="M61" s="18">
        <v>1</v>
      </c>
      <c r="N61" s="18">
        <v>15.5484605821158</v>
      </c>
      <c r="O61" s="18">
        <v>0</v>
      </c>
      <c r="P61" s="18">
        <v>1</v>
      </c>
      <c r="Q61" s="18">
        <v>0</v>
      </c>
      <c r="R61" s="18" t="s">
        <v>1164</v>
      </c>
      <c r="S61" s="18">
        <v>20</v>
      </c>
      <c r="T61" s="18">
        <v>4</v>
      </c>
      <c r="U61" s="20">
        <f>180+43</f>
        <v>223</v>
      </c>
      <c r="V61" s="18">
        <v>7</v>
      </c>
      <c r="W61" s="18">
        <v>7</v>
      </c>
      <c r="X61" s="18">
        <v>0</v>
      </c>
      <c r="Y61" s="18">
        <v>0</v>
      </c>
      <c r="Z61" s="18">
        <v>5.8450339991534301</v>
      </c>
      <c r="AA61" s="18">
        <v>1</v>
      </c>
      <c r="AB61" s="18">
        <v>1</v>
      </c>
      <c r="AC61" s="18">
        <v>1</v>
      </c>
      <c r="AD61" s="18" t="s">
        <v>1158</v>
      </c>
      <c r="AE61" s="18"/>
      <c r="AF61" s="18">
        <v>3</v>
      </c>
      <c r="AG61" s="18">
        <v>0</v>
      </c>
      <c r="AH61" s="18">
        <v>0</v>
      </c>
      <c r="AI61" s="18">
        <v>0</v>
      </c>
      <c r="AJ61" s="18">
        <v>0</v>
      </c>
      <c r="AK61" s="18" t="s">
        <v>1195</v>
      </c>
      <c r="AL61" s="18">
        <v>3</v>
      </c>
      <c r="AM61" s="18">
        <v>3</v>
      </c>
      <c r="AN61" s="18">
        <v>1</v>
      </c>
      <c r="AO61" s="18" t="s">
        <v>1224</v>
      </c>
    </row>
    <row r="62" spans="1:41">
      <c r="A62" s="181" t="s">
        <v>1102</v>
      </c>
      <c r="B62" s="65" t="s">
        <v>17</v>
      </c>
      <c r="C62" s="21" t="s">
        <v>1100</v>
      </c>
      <c r="D62" s="18">
        <f t="shared" ref="D62:D63" si="1">F62-E62</f>
        <v>63</v>
      </c>
      <c r="E62" s="19">
        <v>44784</v>
      </c>
      <c r="F62" s="19">
        <v>44847</v>
      </c>
      <c r="H62" s="18">
        <v>0</v>
      </c>
      <c r="I62" s="18">
        <v>11</v>
      </c>
      <c r="J62" s="21">
        <v>1</v>
      </c>
      <c r="K62" s="21">
        <v>0</v>
      </c>
      <c r="L62" s="21">
        <v>0</v>
      </c>
      <c r="M62" s="21">
        <v>0</v>
      </c>
      <c r="N62" s="18">
        <v>6.7682441830336701</v>
      </c>
      <c r="O62" s="18">
        <v>0</v>
      </c>
      <c r="P62" s="18">
        <v>1</v>
      </c>
      <c r="Q62" s="18">
        <v>0</v>
      </c>
      <c r="R62" s="18" t="s">
        <v>1165</v>
      </c>
      <c r="S62" s="18">
        <v>27</v>
      </c>
      <c r="T62" s="18">
        <v>4</v>
      </c>
      <c r="U62" s="20">
        <v>600</v>
      </c>
      <c r="V62" s="18">
        <v>10</v>
      </c>
      <c r="W62" s="18">
        <v>13</v>
      </c>
      <c r="X62" s="18">
        <v>1</v>
      </c>
      <c r="Y62" s="18">
        <v>18</v>
      </c>
      <c r="Z62" s="18" t="s">
        <v>25</v>
      </c>
      <c r="AA62" s="48">
        <v>5</v>
      </c>
      <c r="AB62" s="18">
        <v>5</v>
      </c>
      <c r="AC62" s="48">
        <v>5</v>
      </c>
      <c r="AD62" s="18" t="s">
        <v>26</v>
      </c>
      <c r="AE62" s="18"/>
      <c r="AF62" s="18" t="s">
        <v>25</v>
      </c>
      <c r="AG62" s="18" t="s">
        <v>25</v>
      </c>
      <c r="AH62" s="18" t="s">
        <v>25</v>
      </c>
      <c r="AI62" s="18" t="s">
        <v>25</v>
      </c>
      <c r="AJ62" s="18" t="s">
        <v>25</v>
      </c>
      <c r="AK62" s="18" t="s">
        <v>25</v>
      </c>
      <c r="AL62" s="18" t="s">
        <v>25</v>
      </c>
      <c r="AM62" s="18" t="s">
        <v>25</v>
      </c>
      <c r="AN62" s="18" t="s">
        <v>25</v>
      </c>
      <c r="AO62" s="18" t="s">
        <v>25</v>
      </c>
    </row>
    <row r="63" spans="1:41">
      <c r="A63" s="181" t="s">
        <v>1103</v>
      </c>
      <c r="B63" s="65" t="s">
        <v>17</v>
      </c>
      <c r="C63" s="21" t="s">
        <v>1100</v>
      </c>
      <c r="D63" s="18">
        <f t="shared" si="1"/>
        <v>62</v>
      </c>
      <c r="E63" s="19">
        <v>44791</v>
      </c>
      <c r="F63" s="19">
        <v>44853</v>
      </c>
      <c r="H63" s="18">
        <v>0</v>
      </c>
      <c r="I63" s="18">
        <v>22</v>
      </c>
      <c r="J63" s="18">
        <v>1</v>
      </c>
      <c r="K63" s="18">
        <v>0</v>
      </c>
      <c r="L63" s="48">
        <v>0</v>
      </c>
      <c r="M63" s="48">
        <v>0</v>
      </c>
      <c r="N63" s="18">
        <v>7.1132408070168296</v>
      </c>
      <c r="O63" s="18">
        <v>0</v>
      </c>
      <c r="P63" s="18">
        <v>1</v>
      </c>
      <c r="Q63" s="18">
        <v>1</v>
      </c>
      <c r="R63" s="18" t="s">
        <v>1166</v>
      </c>
      <c r="S63" s="18">
        <v>28</v>
      </c>
      <c r="T63" s="18">
        <v>8</v>
      </c>
      <c r="U63" s="20">
        <v>133</v>
      </c>
      <c r="V63" s="18">
        <v>4</v>
      </c>
      <c r="W63" s="18">
        <v>3</v>
      </c>
      <c r="X63" s="18">
        <v>0</v>
      </c>
      <c r="Y63" s="18">
        <v>5</v>
      </c>
      <c r="Z63" s="18">
        <v>9.0210023694463199</v>
      </c>
      <c r="AA63" s="48">
        <v>0</v>
      </c>
      <c r="AB63" s="18">
        <v>1</v>
      </c>
      <c r="AC63" s="18">
        <v>1</v>
      </c>
      <c r="AD63" s="18" t="s">
        <v>1159</v>
      </c>
      <c r="AE63" s="18"/>
      <c r="AF63" s="18" t="s">
        <v>25</v>
      </c>
      <c r="AG63" s="18" t="s">
        <v>25</v>
      </c>
      <c r="AH63" s="18" t="s">
        <v>25</v>
      </c>
      <c r="AI63" s="18" t="s">
        <v>25</v>
      </c>
      <c r="AJ63" s="18" t="s">
        <v>25</v>
      </c>
      <c r="AK63" s="18" t="s">
        <v>25</v>
      </c>
      <c r="AL63" s="18" t="s">
        <v>25</v>
      </c>
      <c r="AM63" s="18" t="s">
        <v>25</v>
      </c>
      <c r="AN63" s="18" t="s">
        <v>25</v>
      </c>
      <c r="AO63" s="18" t="s">
        <v>25</v>
      </c>
    </row>
    <row r="64" spans="1:41" s="24" customFormat="1">
      <c r="U64" s="89"/>
      <c r="AA64" s="275"/>
    </row>
    <row r="65" spans="21:29" s="24" customFormat="1">
      <c r="U65" s="89"/>
    </row>
    <row r="66" spans="21:29" s="24" customFormat="1">
      <c r="U66" s="89"/>
      <c r="Z66" s="185"/>
      <c r="AA66" s="183"/>
      <c r="AB66" s="183"/>
      <c r="AC66" s="183"/>
    </row>
    <row r="67" spans="21:29" s="24" customFormat="1">
      <c r="U67" s="89"/>
    </row>
    <row r="68" spans="21:29" s="24" customFormat="1">
      <c r="U68" s="89"/>
      <c r="Y68" s="276"/>
    </row>
    <row r="69" spans="21:29" s="24" customFormat="1"/>
    <row r="70" spans="21:29" s="24" customFormat="1"/>
    <row r="71" spans="21:29" s="24" customFormat="1"/>
    <row r="72" spans="21:29" s="24" customFormat="1"/>
    <row r="73" spans="21:29" s="24" customFormat="1"/>
    <row r="74" spans="21:29" s="24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55D1-6716-FA4C-A833-A7BA7A6BA8D0}">
  <dimension ref="A1:CL30"/>
  <sheetViews>
    <sheetView workbookViewId="0">
      <selection activeCell="H30" sqref="H30"/>
    </sheetView>
  </sheetViews>
  <sheetFormatPr baseColWidth="10" defaultRowHeight="16"/>
  <sheetData>
    <row r="1" spans="1:90" ht="21">
      <c r="A1" s="40"/>
      <c r="B1" s="176"/>
      <c r="C1" s="176"/>
      <c r="D1" s="40"/>
      <c r="E1" s="40"/>
      <c r="F1" s="40"/>
      <c r="G1" s="40"/>
      <c r="H1" s="40"/>
      <c r="I1" s="165" t="s">
        <v>268</v>
      </c>
      <c r="J1" s="38"/>
      <c r="K1" s="38"/>
      <c r="L1" s="38"/>
      <c r="M1" s="38"/>
      <c r="N1" s="38"/>
      <c r="O1" s="38"/>
      <c r="P1" s="38"/>
      <c r="Q1" s="38"/>
      <c r="R1" s="38"/>
      <c r="S1" s="165"/>
      <c r="T1" s="38"/>
      <c r="U1" s="163" t="s">
        <v>787</v>
      </c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3" t="s">
        <v>786</v>
      </c>
      <c r="AG1" s="164"/>
      <c r="AH1" s="164"/>
      <c r="AI1" s="164"/>
      <c r="AJ1" s="164"/>
      <c r="AK1" s="164"/>
      <c r="AL1" s="164"/>
      <c r="AM1" s="164"/>
      <c r="AN1" s="164"/>
      <c r="AO1" s="164"/>
      <c r="AP1" s="40"/>
      <c r="AQ1" s="40"/>
      <c r="AR1" s="40"/>
      <c r="AS1" s="40"/>
      <c r="AT1" s="166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</row>
    <row r="2" spans="1:90" ht="21">
      <c r="A2" s="40"/>
      <c r="B2" s="176"/>
      <c r="C2" s="176"/>
      <c r="D2" s="40"/>
      <c r="E2" s="40"/>
      <c r="F2" s="40"/>
      <c r="G2" s="40"/>
      <c r="H2" s="40"/>
      <c r="I2" s="61" t="s">
        <v>270</v>
      </c>
      <c r="J2" s="88"/>
      <c r="K2" s="88"/>
      <c r="L2" s="88"/>
      <c r="M2" s="88"/>
      <c r="N2" s="88"/>
      <c r="O2" s="88"/>
      <c r="P2" s="88"/>
      <c r="Q2" s="88"/>
      <c r="R2" s="61"/>
      <c r="S2" s="89"/>
      <c r="T2" s="166"/>
      <c r="U2" s="61" t="s">
        <v>270</v>
      </c>
      <c r="V2" s="88"/>
      <c r="W2" s="88"/>
      <c r="X2" s="88"/>
      <c r="Y2" s="88"/>
      <c r="Z2" s="88"/>
      <c r="AA2" s="88"/>
      <c r="AB2" s="88"/>
      <c r="AC2" s="88"/>
      <c r="AD2" s="61"/>
      <c r="AE2" s="61"/>
      <c r="AF2" s="61" t="s">
        <v>270</v>
      </c>
      <c r="AG2" s="88"/>
      <c r="AH2" s="88"/>
      <c r="AI2" s="88"/>
      <c r="AJ2" s="88"/>
      <c r="AK2" s="88"/>
      <c r="AL2" s="88"/>
      <c r="AM2" s="88"/>
      <c r="AN2" s="88"/>
      <c r="AO2" s="61"/>
      <c r="AP2" s="40"/>
      <c r="AQ2" s="40"/>
      <c r="AR2" s="40"/>
      <c r="AS2" s="40"/>
      <c r="AT2" s="166"/>
      <c r="AU2" s="89"/>
      <c r="AV2" s="89"/>
      <c r="AW2" s="89"/>
      <c r="AX2" s="89"/>
      <c r="AY2" s="89"/>
      <c r="AZ2" s="89"/>
      <c r="BA2" s="89"/>
      <c r="BB2" s="89"/>
      <c r="BC2" s="89"/>
      <c r="BD2" s="166"/>
      <c r="BE2" s="89"/>
      <c r="BF2" s="89"/>
      <c r="BG2" s="89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</row>
    <row r="3" spans="1:90" s="24" customFormat="1">
      <c r="A3" s="167" t="s">
        <v>0</v>
      </c>
      <c r="B3" s="168" t="s">
        <v>592</v>
      </c>
      <c r="C3" s="168" t="s">
        <v>1104</v>
      </c>
      <c r="D3" s="168" t="s">
        <v>3</v>
      </c>
      <c r="E3" s="169" t="s">
        <v>4</v>
      </c>
      <c r="F3" s="169" t="s">
        <v>5</v>
      </c>
      <c r="G3" s="169" t="s">
        <v>584</v>
      </c>
      <c r="H3" s="168" t="s">
        <v>15</v>
      </c>
      <c r="I3" s="168" t="s">
        <v>774</v>
      </c>
      <c r="J3" s="168" t="s">
        <v>775</v>
      </c>
      <c r="K3" s="168" t="s">
        <v>777</v>
      </c>
      <c r="L3" s="168" t="s">
        <v>778</v>
      </c>
      <c r="M3" s="168" t="s">
        <v>779</v>
      </c>
      <c r="N3" s="170" t="s">
        <v>780</v>
      </c>
      <c r="O3" s="171" t="s">
        <v>781</v>
      </c>
      <c r="P3" s="171" t="s">
        <v>782</v>
      </c>
      <c r="Q3" s="171" t="s">
        <v>783</v>
      </c>
      <c r="R3" s="172" t="s">
        <v>272</v>
      </c>
      <c r="S3" s="172" t="s">
        <v>785</v>
      </c>
      <c r="T3" s="172" t="s">
        <v>784</v>
      </c>
      <c r="U3" s="168" t="s">
        <v>774</v>
      </c>
      <c r="V3" s="168" t="s">
        <v>775</v>
      </c>
      <c r="W3" s="168" t="s">
        <v>777</v>
      </c>
      <c r="X3" s="168" t="s">
        <v>778</v>
      </c>
      <c r="Y3" s="168" t="s">
        <v>779</v>
      </c>
      <c r="Z3" s="170" t="s">
        <v>780</v>
      </c>
      <c r="AA3" s="171" t="s">
        <v>781</v>
      </c>
      <c r="AB3" s="171" t="s">
        <v>782</v>
      </c>
      <c r="AC3" s="171" t="s">
        <v>783</v>
      </c>
      <c r="AD3" s="172" t="s">
        <v>272</v>
      </c>
      <c r="AE3" s="172" t="s">
        <v>785</v>
      </c>
      <c r="AF3" s="168" t="s">
        <v>774</v>
      </c>
      <c r="AG3" s="168" t="s">
        <v>775</v>
      </c>
      <c r="AH3" s="168" t="s">
        <v>777</v>
      </c>
      <c r="AI3" s="168" t="s">
        <v>778</v>
      </c>
      <c r="AJ3" s="168" t="s">
        <v>779</v>
      </c>
      <c r="AK3" s="170" t="s">
        <v>780</v>
      </c>
      <c r="AL3" s="171" t="s">
        <v>781</v>
      </c>
      <c r="AM3" s="171" t="s">
        <v>782</v>
      </c>
      <c r="AN3" s="171" t="s">
        <v>783</v>
      </c>
      <c r="AO3" s="172" t="s">
        <v>272</v>
      </c>
    </row>
    <row r="4" spans="1:90" s="45" customFormat="1">
      <c r="A4" s="45" t="s">
        <v>1225</v>
      </c>
      <c r="B4" s="45" t="s">
        <v>17</v>
      </c>
      <c r="C4" s="45" t="s">
        <v>1252</v>
      </c>
      <c r="D4" s="45">
        <f t="shared" ref="D4:D11" si="0">F4-E4</f>
        <v>74</v>
      </c>
      <c r="E4" s="177">
        <v>44630</v>
      </c>
      <c r="F4" s="177">
        <v>44704</v>
      </c>
      <c r="G4" s="45">
        <v>1</v>
      </c>
      <c r="H4" s="45">
        <v>0</v>
      </c>
      <c r="I4" s="45">
        <f>13-8</f>
        <v>5</v>
      </c>
      <c r="J4" s="45">
        <v>0</v>
      </c>
      <c r="K4" s="45">
        <v>0</v>
      </c>
      <c r="L4" s="45">
        <v>0</v>
      </c>
      <c r="M4" s="45">
        <v>0</v>
      </c>
      <c r="N4" s="45">
        <v>7.2711563906593799</v>
      </c>
      <c r="O4" s="45">
        <v>0</v>
      </c>
      <c r="P4" s="45">
        <v>1</v>
      </c>
      <c r="Q4" s="45">
        <v>0</v>
      </c>
      <c r="R4" s="45" t="s">
        <v>1281</v>
      </c>
      <c r="S4" s="45">
        <v>13</v>
      </c>
      <c r="T4" s="45">
        <v>7</v>
      </c>
      <c r="U4" s="45">
        <v>31</v>
      </c>
      <c r="V4" s="45">
        <v>2</v>
      </c>
      <c r="W4" s="45">
        <v>2</v>
      </c>
      <c r="X4" s="45">
        <v>1</v>
      </c>
      <c r="Y4" s="45">
        <v>1</v>
      </c>
      <c r="Z4" s="45">
        <v>4.9836151981364498</v>
      </c>
      <c r="AA4" s="45">
        <v>0</v>
      </c>
      <c r="AB4" s="45">
        <v>2</v>
      </c>
      <c r="AC4" s="45">
        <v>1</v>
      </c>
      <c r="AD4" s="45" t="s">
        <v>1254</v>
      </c>
      <c r="AE4" s="45">
        <v>90</v>
      </c>
      <c r="AF4" s="45">
        <v>366</v>
      </c>
      <c r="AG4" s="45">
        <v>9</v>
      </c>
      <c r="AH4" s="45">
        <v>9</v>
      </c>
      <c r="AI4" s="45">
        <v>2</v>
      </c>
      <c r="AJ4" s="45">
        <v>2</v>
      </c>
      <c r="AK4" s="45" t="s">
        <v>1308</v>
      </c>
      <c r="AL4" s="45">
        <v>3</v>
      </c>
      <c r="AM4" s="45">
        <v>2</v>
      </c>
      <c r="AN4" s="45">
        <v>1</v>
      </c>
      <c r="AO4" s="45" t="s">
        <v>1332</v>
      </c>
    </row>
    <row r="5" spans="1:90" s="45" customFormat="1">
      <c r="A5" s="45" t="s">
        <v>1226</v>
      </c>
      <c r="B5" s="45" t="s">
        <v>17</v>
      </c>
      <c r="C5" s="45" t="s">
        <v>1252</v>
      </c>
      <c r="D5" s="45">
        <f t="shared" si="0"/>
        <v>74</v>
      </c>
      <c r="E5" s="177">
        <v>44630</v>
      </c>
      <c r="F5" s="177">
        <v>44704</v>
      </c>
      <c r="G5" s="45">
        <v>1</v>
      </c>
      <c r="H5" s="45">
        <v>0</v>
      </c>
      <c r="I5" s="45">
        <v>7</v>
      </c>
      <c r="J5" s="45">
        <v>0</v>
      </c>
      <c r="K5" s="45">
        <v>0</v>
      </c>
      <c r="L5" s="45">
        <v>0</v>
      </c>
      <c r="M5" s="45">
        <v>0</v>
      </c>
      <c r="N5" s="45">
        <v>9.0322159469712595</v>
      </c>
      <c r="O5" s="45">
        <v>0</v>
      </c>
      <c r="P5" s="45">
        <v>1</v>
      </c>
      <c r="Q5" s="45">
        <v>0</v>
      </c>
      <c r="R5" s="45" t="s">
        <v>1282</v>
      </c>
      <c r="S5" s="45">
        <v>8</v>
      </c>
      <c r="T5" s="45">
        <v>1</v>
      </c>
      <c r="U5" s="45">
        <v>6</v>
      </c>
      <c r="V5" s="45">
        <v>1</v>
      </c>
      <c r="W5" s="45">
        <v>0</v>
      </c>
      <c r="X5" s="45">
        <v>0</v>
      </c>
      <c r="Y5" s="45">
        <v>0</v>
      </c>
      <c r="Z5" s="45">
        <v>4.2721394308519898</v>
      </c>
      <c r="AA5" s="45">
        <v>0</v>
      </c>
      <c r="AB5" s="45">
        <v>1</v>
      </c>
      <c r="AC5" s="45">
        <v>1</v>
      </c>
      <c r="AD5" s="45" t="s">
        <v>1255</v>
      </c>
      <c r="AE5" s="45">
        <v>2</v>
      </c>
      <c r="AF5" s="45">
        <v>124</v>
      </c>
      <c r="AG5" s="45">
        <v>5</v>
      </c>
      <c r="AH5" s="45">
        <v>6</v>
      </c>
      <c r="AI5" s="45">
        <v>1</v>
      </c>
      <c r="AJ5" s="45">
        <v>2</v>
      </c>
      <c r="AK5" s="45" t="s">
        <v>1309</v>
      </c>
      <c r="AL5" s="45">
        <v>3</v>
      </c>
      <c r="AM5" s="45">
        <v>2</v>
      </c>
      <c r="AN5" s="45">
        <v>1</v>
      </c>
      <c r="AO5" s="45" t="s">
        <v>1333</v>
      </c>
    </row>
    <row r="6" spans="1:90" s="45" customFormat="1">
      <c r="A6" s="45" t="s">
        <v>1227</v>
      </c>
      <c r="B6" s="45" t="s">
        <v>17</v>
      </c>
      <c r="C6" s="45" t="s">
        <v>1252</v>
      </c>
      <c r="D6" s="45">
        <f t="shared" si="0"/>
        <v>74</v>
      </c>
      <c r="E6" s="177">
        <v>44630</v>
      </c>
      <c r="F6" s="177">
        <v>44704</v>
      </c>
      <c r="G6" s="45">
        <v>1</v>
      </c>
      <c r="H6" s="45">
        <v>0</v>
      </c>
      <c r="I6" s="45">
        <f>37-11</f>
        <v>26</v>
      </c>
      <c r="J6" s="45">
        <v>1</v>
      </c>
      <c r="K6" s="45">
        <v>0</v>
      </c>
      <c r="L6" s="45">
        <v>0</v>
      </c>
      <c r="M6" s="45">
        <v>0</v>
      </c>
      <c r="N6" s="45">
        <v>9.4346761366282301</v>
      </c>
      <c r="O6" s="45">
        <v>1</v>
      </c>
      <c r="P6" s="45">
        <v>3</v>
      </c>
      <c r="Q6" s="45">
        <v>2</v>
      </c>
      <c r="R6" s="45" t="s">
        <v>1283</v>
      </c>
      <c r="S6" s="45">
        <f>61-37</f>
        <v>24</v>
      </c>
      <c r="T6" s="45">
        <v>10</v>
      </c>
      <c r="U6" s="45">
        <v>100</v>
      </c>
      <c r="V6" s="23">
        <v>10</v>
      </c>
      <c r="W6" s="45">
        <v>9</v>
      </c>
      <c r="X6" s="23">
        <v>5</v>
      </c>
      <c r="Y6" s="45">
        <v>1</v>
      </c>
      <c r="Z6" s="45">
        <v>6.6985561476873601</v>
      </c>
      <c r="AA6" s="45">
        <v>3</v>
      </c>
      <c r="AB6" s="45">
        <v>3</v>
      </c>
      <c r="AC6" s="45">
        <v>3</v>
      </c>
      <c r="AD6" s="45" t="s">
        <v>1256</v>
      </c>
      <c r="AE6" s="45">
        <v>10</v>
      </c>
      <c r="AF6" s="45">
        <f>54-8</f>
        <v>46</v>
      </c>
      <c r="AG6" s="45">
        <v>1</v>
      </c>
      <c r="AH6" s="45">
        <v>1</v>
      </c>
      <c r="AI6" s="45">
        <v>0</v>
      </c>
      <c r="AJ6" s="45">
        <v>1</v>
      </c>
      <c r="AK6" s="45" t="s">
        <v>1310</v>
      </c>
      <c r="AL6" s="45">
        <v>2</v>
      </c>
      <c r="AM6" s="45">
        <v>3</v>
      </c>
      <c r="AN6" s="45">
        <v>2</v>
      </c>
      <c r="AO6" s="45" t="s">
        <v>1334</v>
      </c>
    </row>
    <row r="7" spans="1:90" s="45" customFormat="1">
      <c r="A7" s="45" t="s">
        <v>1228</v>
      </c>
      <c r="B7" s="45" t="s">
        <v>17</v>
      </c>
      <c r="C7" s="45" t="s">
        <v>1252</v>
      </c>
      <c r="D7" s="45">
        <f t="shared" si="0"/>
        <v>74</v>
      </c>
      <c r="E7" s="177">
        <v>44630</v>
      </c>
      <c r="F7" s="177">
        <v>44704</v>
      </c>
      <c r="G7" s="45">
        <v>1</v>
      </c>
      <c r="H7" s="45">
        <v>0</v>
      </c>
      <c r="I7" s="45">
        <v>8</v>
      </c>
      <c r="J7" s="45">
        <v>1</v>
      </c>
      <c r="K7" s="45">
        <v>0</v>
      </c>
      <c r="L7" s="45">
        <v>0</v>
      </c>
      <c r="M7" s="45">
        <v>0</v>
      </c>
      <c r="N7" s="45">
        <v>8.8847432165127405</v>
      </c>
      <c r="O7" s="45">
        <v>0</v>
      </c>
      <c r="P7" s="45">
        <v>1</v>
      </c>
      <c r="Q7" s="45">
        <v>0</v>
      </c>
      <c r="R7" s="45" t="s">
        <v>1284</v>
      </c>
      <c r="S7" s="45">
        <v>592</v>
      </c>
      <c r="T7" s="45">
        <v>27</v>
      </c>
      <c r="U7" s="45">
        <v>234</v>
      </c>
      <c r="V7" s="45">
        <v>9</v>
      </c>
      <c r="W7" s="45">
        <v>8</v>
      </c>
      <c r="X7" s="45">
        <v>2</v>
      </c>
      <c r="Y7" s="45">
        <v>2</v>
      </c>
      <c r="Z7" s="45">
        <v>6.4321544138363702</v>
      </c>
      <c r="AA7" s="45">
        <v>2</v>
      </c>
      <c r="AB7" s="45">
        <v>3</v>
      </c>
      <c r="AC7" s="45">
        <v>2</v>
      </c>
      <c r="AD7" s="45" t="s">
        <v>1257</v>
      </c>
      <c r="AE7" s="45">
        <f>600-234</f>
        <v>366</v>
      </c>
      <c r="AF7" s="45">
        <v>600</v>
      </c>
      <c r="AG7" s="13">
        <v>14</v>
      </c>
      <c r="AH7" s="45">
        <v>19</v>
      </c>
      <c r="AI7" s="45">
        <v>6</v>
      </c>
      <c r="AJ7" s="45">
        <v>5</v>
      </c>
      <c r="AK7" s="45" t="s">
        <v>25</v>
      </c>
      <c r="AL7" s="45">
        <v>5</v>
      </c>
      <c r="AM7" s="45">
        <v>5</v>
      </c>
      <c r="AN7" s="45">
        <v>5</v>
      </c>
      <c r="AO7" s="45" t="s">
        <v>1268</v>
      </c>
    </row>
    <row r="8" spans="1:90" s="10" customFormat="1">
      <c r="A8" s="10" t="s">
        <v>1229</v>
      </c>
      <c r="B8" s="10" t="s">
        <v>17</v>
      </c>
      <c r="C8" s="10" t="s">
        <v>1253</v>
      </c>
      <c r="D8" s="10">
        <f t="shared" si="0"/>
        <v>67</v>
      </c>
      <c r="E8" s="11">
        <v>44840</v>
      </c>
      <c r="F8" s="11">
        <v>44907</v>
      </c>
      <c r="G8" s="10">
        <v>1</v>
      </c>
      <c r="H8" s="10">
        <v>1</v>
      </c>
      <c r="I8" s="10">
        <v>5</v>
      </c>
      <c r="J8" s="10">
        <v>0</v>
      </c>
      <c r="K8" s="10">
        <v>0</v>
      </c>
      <c r="L8" s="10">
        <v>0</v>
      </c>
      <c r="M8" s="10">
        <v>0</v>
      </c>
      <c r="N8" s="10">
        <v>1.97433126187165</v>
      </c>
      <c r="O8" s="10">
        <v>0</v>
      </c>
      <c r="P8" s="10">
        <v>1</v>
      </c>
      <c r="Q8" s="10">
        <v>1</v>
      </c>
      <c r="R8" s="10" t="s">
        <v>1285</v>
      </c>
      <c r="S8" s="10">
        <v>141</v>
      </c>
      <c r="T8" s="10">
        <f>0.5+2+7+5</f>
        <v>14.5</v>
      </c>
      <c r="U8" s="10">
        <v>109</v>
      </c>
      <c r="V8" s="10">
        <v>1</v>
      </c>
      <c r="W8" s="10">
        <v>2</v>
      </c>
      <c r="X8" s="10">
        <v>0</v>
      </c>
      <c r="Y8" s="10">
        <v>2</v>
      </c>
      <c r="Z8" s="10">
        <v>12.567814193407999</v>
      </c>
      <c r="AA8" s="10">
        <v>0</v>
      </c>
      <c r="AB8" s="10">
        <v>1</v>
      </c>
      <c r="AC8" s="10">
        <v>1</v>
      </c>
      <c r="AD8" s="10" t="s">
        <v>1258</v>
      </c>
      <c r="AE8" s="10">
        <v>2</v>
      </c>
      <c r="AF8" s="10">
        <f>3*60+54-9</f>
        <v>225</v>
      </c>
      <c r="AG8" s="10">
        <v>6</v>
      </c>
      <c r="AH8" s="10">
        <v>6</v>
      </c>
      <c r="AI8" s="10">
        <v>1</v>
      </c>
      <c r="AJ8" s="10">
        <v>4</v>
      </c>
      <c r="AK8" s="10" t="s">
        <v>1311</v>
      </c>
      <c r="AL8" s="10">
        <v>2</v>
      </c>
      <c r="AM8" s="10">
        <v>3</v>
      </c>
      <c r="AN8" s="10">
        <v>3</v>
      </c>
      <c r="AO8" s="10" t="s">
        <v>1335</v>
      </c>
      <c r="AP8" s="10" t="s">
        <v>67</v>
      </c>
    </row>
    <row r="9" spans="1:90" s="10" customFormat="1">
      <c r="A9" s="10" t="s">
        <v>1230</v>
      </c>
      <c r="B9" s="10" t="s">
        <v>17</v>
      </c>
      <c r="C9" s="10" t="s">
        <v>1253</v>
      </c>
      <c r="D9" s="10">
        <f t="shared" si="0"/>
        <v>67</v>
      </c>
      <c r="E9" s="11">
        <v>44840</v>
      </c>
      <c r="F9" s="11">
        <v>44907</v>
      </c>
      <c r="G9" s="10">
        <v>1</v>
      </c>
      <c r="H9" s="10">
        <v>1</v>
      </c>
      <c r="I9" s="10">
        <v>2</v>
      </c>
      <c r="J9" s="10">
        <v>0</v>
      </c>
      <c r="K9" s="10">
        <v>0</v>
      </c>
      <c r="L9" s="10">
        <v>0</v>
      </c>
      <c r="M9" s="10">
        <v>0</v>
      </c>
      <c r="N9" s="10">
        <v>10.7093475840677</v>
      </c>
      <c r="O9" s="10">
        <v>0</v>
      </c>
      <c r="P9" s="10">
        <v>1</v>
      </c>
      <c r="Q9" s="10">
        <v>0</v>
      </c>
      <c r="R9" s="10" t="s">
        <v>1286</v>
      </c>
      <c r="S9" s="10">
        <f>21-9</f>
        <v>12</v>
      </c>
      <c r="T9" s="10">
        <v>3</v>
      </c>
      <c r="U9" s="10">
        <v>13</v>
      </c>
      <c r="V9" s="10">
        <v>1</v>
      </c>
      <c r="W9" s="10">
        <v>1</v>
      </c>
      <c r="X9" s="10">
        <v>0</v>
      </c>
      <c r="Y9" s="10">
        <v>0</v>
      </c>
      <c r="Z9" s="10">
        <v>12.2644218920237</v>
      </c>
      <c r="AA9" s="10">
        <v>1</v>
      </c>
      <c r="AB9" s="10">
        <v>1</v>
      </c>
      <c r="AC9" s="10">
        <v>1</v>
      </c>
      <c r="AD9" s="10" t="s">
        <v>1259</v>
      </c>
      <c r="AE9" s="10">
        <v>580</v>
      </c>
      <c r="AF9" s="10">
        <v>70</v>
      </c>
      <c r="AG9" s="10">
        <v>1</v>
      </c>
      <c r="AH9" s="10">
        <v>1</v>
      </c>
      <c r="AI9" s="10">
        <v>0</v>
      </c>
      <c r="AJ9" s="10">
        <v>1</v>
      </c>
      <c r="AK9" s="10" t="s">
        <v>1312</v>
      </c>
      <c r="AL9" s="10">
        <v>0</v>
      </c>
      <c r="AM9" s="10">
        <v>1</v>
      </c>
      <c r="AN9" s="10">
        <v>0</v>
      </c>
      <c r="AO9" s="10" t="s">
        <v>1336</v>
      </c>
      <c r="AP9" s="10" t="s">
        <v>1337</v>
      </c>
    </row>
    <row r="10" spans="1:90" s="10" customFormat="1">
      <c r="A10" s="10" t="s">
        <v>1231</v>
      </c>
      <c r="B10" s="10" t="s">
        <v>17</v>
      </c>
      <c r="C10" s="10" t="s">
        <v>1253</v>
      </c>
      <c r="D10" s="10">
        <f t="shared" si="0"/>
        <v>67</v>
      </c>
      <c r="E10" s="11">
        <v>44840</v>
      </c>
      <c r="F10" s="11">
        <v>44907</v>
      </c>
      <c r="G10" s="10">
        <v>1</v>
      </c>
      <c r="H10" s="10">
        <v>1</v>
      </c>
      <c r="I10" s="10">
        <v>90</v>
      </c>
      <c r="J10" s="10">
        <v>0</v>
      </c>
      <c r="K10" s="10">
        <v>0</v>
      </c>
      <c r="L10" s="10">
        <v>0</v>
      </c>
      <c r="M10" s="10">
        <v>2</v>
      </c>
      <c r="N10" s="10">
        <v>4.6764534520248997</v>
      </c>
      <c r="O10" s="10">
        <v>2</v>
      </c>
      <c r="P10" s="10">
        <v>3</v>
      </c>
      <c r="Q10" s="10">
        <v>1</v>
      </c>
      <c r="R10" s="10" t="s">
        <v>1287</v>
      </c>
      <c r="S10" s="10">
        <v>2</v>
      </c>
      <c r="T10" s="10">
        <v>1</v>
      </c>
      <c r="U10" s="10">
        <v>9</v>
      </c>
      <c r="V10" s="10">
        <v>1</v>
      </c>
      <c r="W10" s="10">
        <v>1</v>
      </c>
      <c r="X10" s="10">
        <v>0</v>
      </c>
      <c r="Y10" s="10">
        <v>0</v>
      </c>
      <c r="Z10" s="10">
        <v>16.983979185320202</v>
      </c>
      <c r="AA10" s="10">
        <v>1</v>
      </c>
      <c r="AB10" s="10">
        <v>1</v>
      </c>
      <c r="AC10" s="10">
        <v>1</v>
      </c>
      <c r="AD10" s="10" t="s">
        <v>1260</v>
      </c>
      <c r="AE10" s="10">
        <f>56-18</f>
        <v>38</v>
      </c>
      <c r="AF10" s="10">
        <f>9*60+15</f>
        <v>555</v>
      </c>
      <c r="AG10" s="10">
        <v>11</v>
      </c>
      <c r="AH10" s="10">
        <v>9</v>
      </c>
      <c r="AI10" s="10">
        <v>0</v>
      </c>
      <c r="AJ10" s="10">
        <v>13</v>
      </c>
      <c r="AK10" s="10" t="s">
        <v>1313</v>
      </c>
      <c r="AL10" s="10">
        <v>2</v>
      </c>
      <c r="AM10" s="10">
        <v>3</v>
      </c>
      <c r="AN10" s="10">
        <v>3</v>
      </c>
      <c r="AO10" s="10" t="s">
        <v>1338</v>
      </c>
      <c r="AP10" s="10" t="s">
        <v>67</v>
      </c>
    </row>
    <row r="11" spans="1:90" s="10" customFormat="1">
      <c r="A11" s="10" t="s">
        <v>1232</v>
      </c>
      <c r="B11" s="10" t="s">
        <v>17</v>
      </c>
      <c r="C11" s="10" t="s">
        <v>1253</v>
      </c>
      <c r="D11" s="10">
        <f t="shared" si="0"/>
        <v>67</v>
      </c>
      <c r="E11" s="11">
        <v>44840</v>
      </c>
      <c r="F11" s="11">
        <v>44907</v>
      </c>
      <c r="G11" s="10">
        <v>1</v>
      </c>
      <c r="H11" s="10">
        <v>1</v>
      </c>
      <c r="I11" s="10">
        <v>9</v>
      </c>
      <c r="J11" s="10">
        <v>0</v>
      </c>
      <c r="K11" s="10">
        <v>0</v>
      </c>
      <c r="L11" s="10">
        <v>0</v>
      </c>
      <c r="M11" s="10">
        <v>1</v>
      </c>
      <c r="N11" s="10">
        <v>7.6295953830893399</v>
      </c>
      <c r="O11" s="10">
        <v>0</v>
      </c>
      <c r="P11" s="10">
        <v>1</v>
      </c>
      <c r="Q11" s="10">
        <v>1</v>
      </c>
      <c r="R11" s="10" t="s">
        <v>1288</v>
      </c>
      <c r="S11" s="10">
        <f>65-17</f>
        <v>48</v>
      </c>
      <c r="T11" s="10">
        <v>8.5</v>
      </c>
      <c r="U11" s="10">
        <v>309</v>
      </c>
      <c r="V11" s="10">
        <v>2</v>
      </c>
      <c r="W11" s="10">
        <v>6</v>
      </c>
      <c r="X11" s="10">
        <v>0</v>
      </c>
      <c r="Y11" s="10">
        <v>5</v>
      </c>
      <c r="Z11" s="10">
        <v>2.9198374255702899</v>
      </c>
      <c r="AA11" s="10">
        <v>3</v>
      </c>
      <c r="AB11" s="10">
        <v>3</v>
      </c>
      <c r="AC11" s="10">
        <v>2</v>
      </c>
      <c r="AD11" s="10" t="s">
        <v>1261</v>
      </c>
      <c r="AE11" s="10">
        <v>31</v>
      </c>
      <c r="AF11" s="10">
        <v>234</v>
      </c>
      <c r="AG11" s="280">
        <v>5</v>
      </c>
      <c r="AH11" s="10">
        <v>4</v>
      </c>
      <c r="AI11" s="10">
        <v>1</v>
      </c>
      <c r="AJ11" s="10">
        <v>4</v>
      </c>
      <c r="AK11" s="10" t="s">
        <v>1314</v>
      </c>
      <c r="AL11" s="10">
        <v>3</v>
      </c>
      <c r="AM11" s="10">
        <v>3</v>
      </c>
      <c r="AN11" s="10">
        <v>2</v>
      </c>
      <c r="AO11" s="10" t="s">
        <v>1339</v>
      </c>
    </row>
    <row r="12" spans="1:90" s="45" customFormat="1">
      <c r="A12" s="45" t="s">
        <v>1233</v>
      </c>
      <c r="B12" s="45" t="s">
        <v>17</v>
      </c>
      <c r="C12" s="45" t="s">
        <v>1252</v>
      </c>
      <c r="D12" s="45">
        <f>F12-E12</f>
        <v>67</v>
      </c>
      <c r="E12" s="177">
        <v>44840</v>
      </c>
      <c r="F12" s="177">
        <v>44907</v>
      </c>
      <c r="G12" s="45">
        <v>1</v>
      </c>
      <c r="H12" s="45">
        <v>0</v>
      </c>
      <c r="I12" s="45">
        <v>3</v>
      </c>
      <c r="J12" s="45">
        <v>1</v>
      </c>
      <c r="K12" s="45">
        <v>0</v>
      </c>
      <c r="L12" s="45">
        <v>0</v>
      </c>
      <c r="M12" s="45">
        <v>0</v>
      </c>
      <c r="N12" s="45">
        <v>5.6466681872973101</v>
      </c>
      <c r="O12" s="45">
        <v>1</v>
      </c>
      <c r="P12" s="45">
        <v>3</v>
      </c>
      <c r="Q12" s="45">
        <v>1</v>
      </c>
      <c r="R12" s="45" t="s">
        <v>1289</v>
      </c>
      <c r="S12" s="45">
        <v>19</v>
      </c>
      <c r="T12" s="45">
        <v>10</v>
      </c>
      <c r="U12" s="45">
        <v>92</v>
      </c>
      <c r="V12" s="45">
        <v>6</v>
      </c>
      <c r="W12" s="45">
        <v>6</v>
      </c>
      <c r="X12" s="45">
        <v>2</v>
      </c>
      <c r="Y12" s="45">
        <v>1</v>
      </c>
      <c r="Z12" s="45">
        <v>2.4446654514200201</v>
      </c>
      <c r="AA12" s="45">
        <v>3</v>
      </c>
      <c r="AB12" s="45">
        <v>3</v>
      </c>
      <c r="AC12" s="45">
        <v>2</v>
      </c>
      <c r="AD12" s="45" t="s">
        <v>1262</v>
      </c>
      <c r="AE12" s="45">
        <v>3</v>
      </c>
      <c r="AF12" s="45">
        <v>20</v>
      </c>
      <c r="AG12" s="45">
        <v>2</v>
      </c>
      <c r="AH12" s="45">
        <v>2</v>
      </c>
      <c r="AI12" s="45">
        <v>1</v>
      </c>
      <c r="AJ12" s="45">
        <v>0</v>
      </c>
      <c r="AK12" s="45" t="s">
        <v>1315</v>
      </c>
      <c r="AL12" s="45">
        <v>0</v>
      </c>
      <c r="AM12" s="45">
        <v>1</v>
      </c>
      <c r="AN12" s="45">
        <v>0</v>
      </c>
      <c r="AO12" s="45" t="s">
        <v>1340</v>
      </c>
    </row>
    <row r="13" spans="1:90" s="10" customFormat="1">
      <c r="A13" s="10" t="s">
        <v>1234</v>
      </c>
      <c r="B13" s="10" t="s">
        <v>17</v>
      </c>
      <c r="C13" s="10" t="s">
        <v>1253</v>
      </c>
      <c r="D13" s="10">
        <f t="shared" ref="D13:D15" si="1">F13-E13</f>
        <v>67</v>
      </c>
      <c r="E13" s="11">
        <v>44840</v>
      </c>
      <c r="F13" s="11">
        <v>44907</v>
      </c>
      <c r="G13" s="10">
        <v>1</v>
      </c>
      <c r="H13" s="10">
        <v>1</v>
      </c>
      <c r="I13" s="10">
        <v>4</v>
      </c>
      <c r="J13" s="10">
        <v>0</v>
      </c>
      <c r="K13" s="10">
        <v>0</v>
      </c>
      <c r="L13" s="10">
        <v>0</v>
      </c>
      <c r="M13" s="10">
        <v>0</v>
      </c>
      <c r="N13" s="10">
        <v>5.4944540164290601</v>
      </c>
      <c r="O13" s="10">
        <v>0</v>
      </c>
      <c r="P13" s="10">
        <v>1</v>
      </c>
      <c r="Q13" s="10">
        <v>1</v>
      </c>
      <c r="R13" s="10" t="s">
        <v>1290</v>
      </c>
      <c r="S13" s="10">
        <v>4</v>
      </c>
      <c r="T13" s="10">
        <v>1</v>
      </c>
      <c r="U13" s="10">
        <v>11</v>
      </c>
      <c r="V13" s="10">
        <v>1</v>
      </c>
      <c r="W13" s="10">
        <v>1</v>
      </c>
      <c r="X13" s="10">
        <v>0</v>
      </c>
      <c r="Y13" s="10">
        <v>0</v>
      </c>
      <c r="Z13" s="10">
        <v>9.0693631803738608</v>
      </c>
      <c r="AA13" s="10">
        <v>0</v>
      </c>
      <c r="AB13" s="10">
        <v>1</v>
      </c>
      <c r="AC13" s="10">
        <v>1</v>
      </c>
      <c r="AD13" s="10" t="s">
        <v>1263</v>
      </c>
      <c r="AE13" s="10">
        <v>18</v>
      </c>
      <c r="AF13" s="10">
        <v>5</v>
      </c>
      <c r="AG13" s="10">
        <v>0</v>
      </c>
      <c r="AH13" s="10">
        <v>0</v>
      </c>
      <c r="AI13" s="10">
        <v>0</v>
      </c>
      <c r="AJ13" s="10">
        <v>0</v>
      </c>
      <c r="AK13" s="10" t="s">
        <v>1316</v>
      </c>
      <c r="AL13" s="10">
        <v>0</v>
      </c>
      <c r="AM13" s="10">
        <v>1</v>
      </c>
      <c r="AN13" s="10">
        <v>1</v>
      </c>
      <c r="AO13" s="10" t="s">
        <v>1341</v>
      </c>
    </row>
    <row r="14" spans="1:90" s="45" customFormat="1">
      <c r="A14" s="45" t="s">
        <v>1235</v>
      </c>
      <c r="B14" s="45" t="s">
        <v>17</v>
      </c>
      <c r="C14" s="45" t="s">
        <v>1252</v>
      </c>
      <c r="D14" s="45">
        <f>F14-E14</f>
        <v>67</v>
      </c>
      <c r="E14" s="177">
        <v>44840</v>
      </c>
      <c r="F14" s="177">
        <v>44907</v>
      </c>
      <c r="G14" s="45">
        <v>1</v>
      </c>
      <c r="H14" s="45">
        <v>0</v>
      </c>
      <c r="I14" s="45">
        <v>46</v>
      </c>
      <c r="J14" s="45">
        <v>2</v>
      </c>
      <c r="K14" s="45">
        <v>1</v>
      </c>
      <c r="L14" s="45">
        <v>0</v>
      </c>
      <c r="M14" s="45">
        <v>1</v>
      </c>
      <c r="N14" s="45">
        <v>9.4268271278378801</v>
      </c>
      <c r="O14" s="45">
        <v>0</v>
      </c>
      <c r="P14" s="45">
        <v>1</v>
      </c>
      <c r="Q14" s="45">
        <v>1</v>
      </c>
      <c r="R14" s="45" t="s">
        <v>1291</v>
      </c>
      <c r="S14" s="45">
        <v>10</v>
      </c>
      <c r="T14" s="45">
        <v>9</v>
      </c>
      <c r="U14" s="45">
        <v>194</v>
      </c>
      <c r="V14" s="45">
        <v>4</v>
      </c>
      <c r="W14" s="45">
        <v>5</v>
      </c>
      <c r="X14" s="45">
        <v>0</v>
      </c>
      <c r="Y14" s="279">
        <v>4</v>
      </c>
      <c r="Z14" s="45">
        <v>4.0669242436161399</v>
      </c>
      <c r="AA14" s="45">
        <v>3</v>
      </c>
      <c r="AB14" s="45">
        <v>2</v>
      </c>
      <c r="AC14" s="45">
        <v>1</v>
      </c>
      <c r="AD14" s="45" t="s">
        <v>1264</v>
      </c>
      <c r="AE14" s="45">
        <v>6</v>
      </c>
      <c r="AF14" s="45">
        <f>4*60+43</f>
        <v>283</v>
      </c>
      <c r="AG14" s="45">
        <v>9</v>
      </c>
      <c r="AH14" s="45">
        <v>7</v>
      </c>
      <c r="AI14" s="45">
        <v>1</v>
      </c>
      <c r="AJ14" s="45">
        <v>3</v>
      </c>
      <c r="AK14" s="45" t="s">
        <v>1317</v>
      </c>
      <c r="AL14" s="45">
        <v>3</v>
      </c>
      <c r="AM14" s="45">
        <v>3</v>
      </c>
      <c r="AN14" s="45">
        <v>1</v>
      </c>
      <c r="AO14" s="45" t="s">
        <v>1342</v>
      </c>
    </row>
    <row r="15" spans="1:90" s="10" customFormat="1">
      <c r="A15" s="10" t="s">
        <v>1236</v>
      </c>
      <c r="B15" s="10" t="s">
        <v>17</v>
      </c>
      <c r="C15" s="10" t="s">
        <v>1253</v>
      </c>
      <c r="D15" s="10">
        <f t="shared" si="1"/>
        <v>67</v>
      </c>
      <c r="E15" s="11">
        <v>44840</v>
      </c>
      <c r="F15" s="11">
        <v>44907</v>
      </c>
      <c r="G15" s="10">
        <v>1</v>
      </c>
      <c r="H15" s="10">
        <v>1</v>
      </c>
      <c r="I15" s="10">
        <v>7</v>
      </c>
      <c r="J15" s="10">
        <v>0</v>
      </c>
      <c r="K15" s="10">
        <v>0</v>
      </c>
      <c r="L15" s="10">
        <v>0</v>
      </c>
      <c r="M15" s="10">
        <v>0</v>
      </c>
      <c r="N15" s="10">
        <v>8.7345564447342205</v>
      </c>
      <c r="O15" s="10">
        <v>2</v>
      </c>
      <c r="P15" s="10">
        <v>3</v>
      </c>
      <c r="Q15" s="10">
        <v>1</v>
      </c>
      <c r="R15" s="10" t="s">
        <v>1292</v>
      </c>
      <c r="S15" s="10">
        <f>6*60+20</f>
        <v>380</v>
      </c>
      <c r="T15" s="10">
        <v>65</v>
      </c>
      <c r="U15" s="10">
        <v>202</v>
      </c>
      <c r="V15" s="10">
        <v>4</v>
      </c>
      <c r="W15" s="10">
        <v>4</v>
      </c>
      <c r="X15" s="10">
        <v>2</v>
      </c>
      <c r="Y15" s="10">
        <v>4</v>
      </c>
      <c r="Z15" s="10">
        <v>7.6744111278779501</v>
      </c>
      <c r="AA15" s="10">
        <v>3</v>
      </c>
      <c r="AB15" s="10">
        <v>3</v>
      </c>
      <c r="AC15" s="10">
        <v>1</v>
      </c>
      <c r="AD15" s="10" t="s">
        <v>1265</v>
      </c>
      <c r="AE15" s="10">
        <v>20</v>
      </c>
      <c r="AF15" s="10">
        <v>235</v>
      </c>
      <c r="AG15" s="10">
        <v>5</v>
      </c>
      <c r="AH15" s="10">
        <v>5</v>
      </c>
      <c r="AI15" s="10">
        <v>2</v>
      </c>
      <c r="AJ15" s="10">
        <v>1</v>
      </c>
      <c r="AK15" s="10" t="s">
        <v>1318</v>
      </c>
      <c r="AL15" s="10">
        <v>3</v>
      </c>
      <c r="AM15" s="10">
        <v>3</v>
      </c>
      <c r="AN15" s="10">
        <v>2</v>
      </c>
      <c r="AO15" s="10" t="s">
        <v>1343</v>
      </c>
    </row>
    <row r="16" spans="1:90" s="45" customFormat="1">
      <c r="A16" s="45" t="s">
        <v>1237</v>
      </c>
      <c r="B16" s="45" t="s">
        <v>17</v>
      </c>
      <c r="C16" s="45" t="s">
        <v>1252</v>
      </c>
      <c r="D16" s="45">
        <f>F16-E16</f>
        <v>67</v>
      </c>
      <c r="E16" s="177">
        <v>44840</v>
      </c>
      <c r="F16" s="177">
        <v>44907</v>
      </c>
      <c r="G16" s="45">
        <v>1</v>
      </c>
      <c r="H16" s="45">
        <v>0</v>
      </c>
      <c r="I16" s="45">
        <v>22</v>
      </c>
      <c r="J16" s="45">
        <v>1</v>
      </c>
      <c r="K16" s="45">
        <v>0</v>
      </c>
      <c r="L16" s="45">
        <v>0</v>
      </c>
      <c r="M16" s="45">
        <v>2</v>
      </c>
      <c r="N16" s="45">
        <v>8.6848369786199306</v>
      </c>
      <c r="O16" s="45">
        <v>2</v>
      </c>
      <c r="P16" s="45">
        <v>3</v>
      </c>
      <c r="Q16" s="45">
        <v>2</v>
      </c>
      <c r="R16" s="45" t="s">
        <v>1293</v>
      </c>
      <c r="S16" s="45">
        <v>36</v>
      </c>
      <c r="T16" s="45">
        <v>4.5</v>
      </c>
      <c r="U16" s="45">
        <v>2</v>
      </c>
      <c r="V16" s="45">
        <v>0</v>
      </c>
      <c r="W16" s="45">
        <v>0</v>
      </c>
      <c r="X16" s="45">
        <v>0</v>
      </c>
      <c r="Y16" s="45">
        <v>0</v>
      </c>
      <c r="Z16" s="45">
        <v>22.599517510111198</v>
      </c>
      <c r="AA16" s="45">
        <v>2</v>
      </c>
      <c r="AB16" s="45">
        <v>3</v>
      </c>
      <c r="AC16" s="45">
        <v>2</v>
      </c>
      <c r="AD16" s="45" t="s">
        <v>1266</v>
      </c>
      <c r="AE16" s="45">
        <v>65</v>
      </c>
      <c r="AF16" s="45">
        <f>2*60+33-7</f>
        <v>146</v>
      </c>
      <c r="AG16" s="45">
        <v>4</v>
      </c>
      <c r="AH16" s="45">
        <v>5</v>
      </c>
      <c r="AI16" s="45">
        <v>1</v>
      </c>
      <c r="AJ16" s="45">
        <v>3</v>
      </c>
      <c r="AK16" s="45" t="s">
        <v>1319</v>
      </c>
      <c r="AL16" s="45">
        <v>2</v>
      </c>
      <c r="AM16" s="45">
        <v>2</v>
      </c>
      <c r="AN16" s="45">
        <v>2</v>
      </c>
      <c r="AO16" s="45" t="s">
        <v>1344</v>
      </c>
    </row>
    <row r="17" spans="1:42" s="10" customFormat="1">
      <c r="A17" s="10" t="s">
        <v>1238</v>
      </c>
      <c r="B17" s="10" t="s">
        <v>41</v>
      </c>
      <c r="C17" s="10" t="s">
        <v>1253</v>
      </c>
      <c r="D17" s="10">
        <f t="shared" ref="D17:D23" si="2">F17-E17</f>
        <v>58</v>
      </c>
      <c r="E17" s="11">
        <v>44854</v>
      </c>
      <c r="F17" s="11">
        <v>44912</v>
      </c>
      <c r="G17" s="10">
        <v>1</v>
      </c>
      <c r="H17" s="10">
        <v>1</v>
      </c>
      <c r="I17" s="10">
        <v>16</v>
      </c>
      <c r="J17" s="10">
        <v>1</v>
      </c>
      <c r="K17" s="10">
        <v>1</v>
      </c>
      <c r="L17" s="10">
        <v>0</v>
      </c>
      <c r="M17" s="10">
        <v>0</v>
      </c>
      <c r="N17" s="10">
        <v>8.1092898876015305</v>
      </c>
      <c r="O17" s="10">
        <v>0</v>
      </c>
      <c r="P17" s="10">
        <v>1</v>
      </c>
      <c r="Q17" s="10">
        <v>0</v>
      </c>
      <c r="R17" s="10" t="s">
        <v>1294</v>
      </c>
      <c r="S17" s="10">
        <f>60+42-29</f>
        <v>73</v>
      </c>
      <c r="T17" s="10">
        <v>8</v>
      </c>
      <c r="U17" s="10">
        <f>52-11</f>
        <v>41</v>
      </c>
      <c r="V17" s="10">
        <v>2</v>
      </c>
      <c r="W17" s="10">
        <v>2</v>
      </c>
      <c r="X17" s="10">
        <v>1</v>
      </c>
      <c r="Y17" s="10">
        <v>0</v>
      </c>
      <c r="Z17" s="10">
        <v>8.4230066305546405</v>
      </c>
      <c r="AA17" s="10">
        <v>3</v>
      </c>
      <c r="AB17" s="10">
        <v>3</v>
      </c>
      <c r="AC17" s="10">
        <v>2</v>
      </c>
      <c r="AD17" s="10" t="s">
        <v>1267</v>
      </c>
      <c r="AE17" s="10">
        <f>323-53</f>
        <v>270</v>
      </c>
      <c r="AF17" s="10">
        <v>600</v>
      </c>
      <c r="AG17" s="10">
        <v>10</v>
      </c>
      <c r="AH17" s="10">
        <v>10</v>
      </c>
      <c r="AI17" s="10">
        <v>0</v>
      </c>
      <c r="AJ17" s="10">
        <v>4</v>
      </c>
      <c r="AK17" s="10" t="s">
        <v>25</v>
      </c>
      <c r="AL17" s="10">
        <v>5</v>
      </c>
      <c r="AM17" s="10">
        <v>5</v>
      </c>
      <c r="AN17" s="10">
        <v>5</v>
      </c>
      <c r="AO17" s="10" t="s">
        <v>1345</v>
      </c>
    </row>
    <row r="18" spans="1:42" s="10" customFormat="1">
      <c r="A18" s="10" t="s">
        <v>1239</v>
      </c>
      <c r="B18" s="10" t="s">
        <v>41</v>
      </c>
      <c r="C18" s="10" t="s">
        <v>1253</v>
      </c>
      <c r="D18" s="10">
        <f t="shared" si="2"/>
        <v>58</v>
      </c>
      <c r="E18" s="11">
        <v>44854</v>
      </c>
      <c r="F18" s="11">
        <v>44912</v>
      </c>
      <c r="G18" s="10">
        <v>1</v>
      </c>
      <c r="H18" s="10">
        <v>1</v>
      </c>
      <c r="I18" s="10">
        <f>22-9</f>
        <v>13</v>
      </c>
      <c r="J18" s="10">
        <v>1</v>
      </c>
      <c r="K18" s="10">
        <v>0</v>
      </c>
      <c r="L18" s="10">
        <v>0</v>
      </c>
      <c r="M18" s="10">
        <v>1</v>
      </c>
      <c r="N18" s="10">
        <v>10.3502809042145</v>
      </c>
      <c r="O18" s="10">
        <v>0</v>
      </c>
      <c r="P18" s="10">
        <v>1</v>
      </c>
      <c r="Q18" s="10">
        <v>1</v>
      </c>
      <c r="R18" s="10" t="s">
        <v>1295</v>
      </c>
      <c r="S18" s="10">
        <f>126-22</f>
        <v>104</v>
      </c>
      <c r="T18" s="10">
        <v>19</v>
      </c>
      <c r="U18" s="10">
        <v>600</v>
      </c>
      <c r="V18" s="10">
        <v>7</v>
      </c>
      <c r="W18" s="10">
        <v>9</v>
      </c>
      <c r="X18" s="10">
        <v>1</v>
      </c>
      <c r="Y18" s="10">
        <v>2</v>
      </c>
      <c r="Z18" s="10" t="s">
        <v>25</v>
      </c>
      <c r="AA18" s="10">
        <v>5</v>
      </c>
      <c r="AB18" s="10">
        <v>5</v>
      </c>
      <c r="AC18" s="10">
        <v>5</v>
      </c>
      <c r="AD18" s="10" t="s">
        <v>1268</v>
      </c>
      <c r="AE18" s="10" t="s">
        <v>25</v>
      </c>
      <c r="AF18" s="10">
        <v>340</v>
      </c>
      <c r="AG18" s="10">
        <v>20</v>
      </c>
      <c r="AH18" s="10">
        <v>19</v>
      </c>
      <c r="AI18" s="10">
        <v>3</v>
      </c>
      <c r="AJ18" s="10">
        <v>6</v>
      </c>
      <c r="AK18" s="10" t="s">
        <v>1320</v>
      </c>
      <c r="AL18" s="10">
        <v>0</v>
      </c>
      <c r="AM18" s="10">
        <v>1</v>
      </c>
      <c r="AN18" s="10">
        <v>1</v>
      </c>
      <c r="AO18" s="10" t="s">
        <v>1346</v>
      </c>
    </row>
    <row r="19" spans="1:42" s="10" customFormat="1">
      <c r="A19" s="10" t="s">
        <v>1240</v>
      </c>
      <c r="B19" s="10" t="s">
        <v>41</v>
      </c>
      <c r="C19" s="10" t="s">
        <v>1253</v>
      </c>
      <c r="D19" s="10">
        <f t="shared" si="2"/>
        <v>58</v>
      </c>
      <c r="E19" s="11">
        <v>44854</v>
      </c>
      <c r="F19" s="11">
        <v>44912</v>
      </c>
      <c r="G19" s="10">
        <v>1</v>
      </c>
      <c r="H19" s="10">
        <v>1</v>
      </c>
      <c r="I19" s="10">
        <v>70</v>
      </c>
      <c r="J19" s="10">
        <v>1</v>
      </c>
      <c r="K19" s="10">
        <v>0</v>
      </c>
      <c r="L19" s="10">
        <v>0</v>
      </c>
      <c r="M19" s="10">
        <v>2</v>
      </c>
      <c r="N19" s="10">
        <v>5.83790550960512</v>
      </c>
      <c r="O19" s="10">
        <v>0</v>
      </c>
      <c r="P19" s="10">
        <v>1</v>
      </c>
      <c r="Q19" s="10">
        <v>1</v>
      </c>
      <c r="R19" s="10" t="s">
        <v>1296</v>
      </c>
      <c r="S19" s="10">
        <v>530</v>
      </c>
      <c r="T19" s="10">
        <v>27.5</v>
      </c>
      <c r="U19" s="10">
        <v>318</v>
      </c>
      <c r="V19" s="10">
        <v>12</v>
      </c>
      <c r="W19" s="10">
        <v>8</v>
      </c>
      <c r="X19" s="10">
        <v>1</v>
      </c>
      <c r="Y19" s="10">
        <v>4</v>
      </c>
      <c r="Z19" s="10">
        <v>2.5370861481202498</v>
      </c>
      <c r="AA19" s="10">
        <v>3</v>
      </c>
      <c r="AB19" s="10">
        <v>3</v>
      </c>
      <c r="AC19" s="10">
        <v>3</v>
      </c>
      <c r="AD19" s="10" t="s">
        <v>1269</v>
      </c>
      <c r="AE19" s="10">
        <f>9*60-(323)</f>
        <v>217</v>
      </c>
      <c r="AF19" s="10">
        <f>6*60+30</f>
        <v>390</v>
      </c>
      <c r="AG19" s="10">
        <v>8</v>
      </c>
      <c r="AH19" s="10">
        <v>7</v>
      </c>
      <c r="AI19" s="10">
        <v>1</v>
      </c>
      <c r="AJ19" s="10">
        <v>2</v>
      </c>
      <c r="AK19" s="10" t="s">
        <v>1321</v>
      </c>
      <c r="AL19" s="10">
        <v>3</v>
      </c>
      <c r="AM19" s="10">
        <v>3</v>
      </c>
      <c r="AN19" s="10">
        <v>2</v>
      </c>
      <c r="AO19" s="10" t="s">
        <v>1347</v>
      </c>
    </row>
    <row r="20" spans="1:42" s="10" customFormat="1">
      <c r="A20" s="10" t="s">
        <v>1241</v>
      </c>
      <c r="B20" s="10" t="s">
        <v>41</v>
      </c>
      <c r="C20" s="10" t="s">
        <v>1253</v>
      </c>
      <c r="D20" s="10">
        <f t="shared" si="2"/>
        <v>58</v>
      </c>
      <c r="E20" s="11">
        <v>44854</v>
      </c>
      <c r="F20" s="11">
        <v>44912</v>
      </c>
      <c r="G20" s="10">
        <v>1</v>
      </c>
      <c r="H20" s="10">
        <v>1</v>
      </c>
      <c r="I20" s="10">
        <v>6</v>
      </c>
      <c r="J20" s="10">
        <v>0</v>
      </c>
      <c r="K20" s="10">
        <v>0</v>
      </c>
      <c r="L20" s="10">
        <v>0</v>
      </c>
      <c r="M20" s="10">
        <v>0</v>
      </c>
      <c r="N20" s="10">
        <v>8.2903940079941698</v>
      </c>
      <c r="O20" s="10">
        <v>0</v>
      </c>
      <c r="P20" s="10">
        <v>1</v>
      </c>
      <c r="Q20" s="10">
        <v>0</v>
      </c>
      <c r="R20" s="10" t="s">
        <v>1297</v>
      </c>
      <c r="S20" s="10">
        <v>7</v>
      </c>
      <c r="T20" s="10">
        <v>2</v>
      </c>
      <c r="U20" s="10">
        <v>22</v>
      </c>
      <c r="V20" s="10">
        <v>2</v>
      </c>
      <c r="W20" s="10">
        <v>2</v>
      </c>
      <c r="X20" s="10">
        <v>0</v>
      </c>
      <c r="Y20" s="10">
        <v>0</v>
      </c>
      <c r="Z20" s="10">
        <v>10.296709806195301</v>
      </c>
      <c r="AA20" s="10">
        <v>0</v>
      </c>
      <c r="AB20" s="10">
        <v>2</v>
      </c>
      <c r="AC20" s="10">
        <v>1</v>
      </c>
      <c r="AD20" s="10" t="s">
        <v>1270</v>
      </c>
      <c r="AE20" s="10">
        <v>67</v>
      </c>
      <c r="AF20" s="10">
        <v>368</v>
      </c>
      <c r="AG20" s="10">
        <v>5</v>
      </c>
      <c r="AH20" s="10">
        <v>9</v>
      </c>
      <c r="AI20" s="10">
        <v>2</v>
      </c>
      <c r="AJ20" s="10">
        <v>4</v>
      </c>
      <c r="AK20" s="10" t="s">
        <v>1322</v>
      </c>
      <c r="AL20" s="10">
        <v>3</v>
      </c>
      <c r="AM20" s="10">
        <v>3</v>
      </c>
      <c r="AN20" s="10">
        <v>2</v>
      </c>
      <c r="AO20" s="10" t="s">
        <v>1348</v>
      </c>
    </row>
    <row r="21" spans="1:42" s="10" customFormat="1">
      <c r="A21" s="10" t="s">
        <v>1242</v>
      </c>
      <c r="B21" s="10" t="s">
        <v>41</v>
      </c>
      <c r="C21" s="10" t="s">
        <v>1253</v>
      </c>
      <c r="D21" s="10">
        <f t="shared" si="2"/>
        <v>58</v>
      </c>
      <c r="E21" s="11">
        <v>44854</v>
      </c>
      <c r="F21" s="11">
        <v>44912</v>
      </c>
      <c r="G21" s="10">
        <v>1</v>
      </c>
      <c r="H21" s="10">
        <v>1</v>
      </c>
      <c r="I21" s="10">
        <v>6</v>
      </c>
      <c r="J21" s="10">
        <v>0</v>
      </c>
      <c r="K21" s="10">
        <v>0</v>
      </c>
      <c r="L21" s="10">
        <v>0</v>
      </c>
      <c r="M21" s="10">
        <v>0</v>
      </c>
      <c r="N21" s="10">
        <v>5.5089689465304996</v>
      </c>
      <c r="O21" s="10">
        <v>0</v>
      </c>
      <c r="P21" s="10">
        <v>1</v>
      </c>
      <c r="Q21" s="10">
        <v>0</v>
      </c>
      <c r="R21" s="10" t="s">
        <v>1298</v>
      </c>
      <c r="S21" s="10">
        <v>4</v>
      </c>
      <c r="T21" s="10">
        <v>0.5</v>
      </c>
      <c r="U21" s="10">
        <v>82</v>
      </c>
      <c r="V21" s="10">
        <v>4</v>
      </c>
      <c r="W21" s="10">
        <v>3</v>
      </c>
      <c r="X21" s="10">
        <v>0</v>
      </c>
      <c r="Y21" s="10">
        <v>2</v>
      </c>
      <c r="Z21" s="10">
        <v>4.6527129539717302</v>
      </c>
      <c r="AA21" s="10">
        <v>0</v>
      </c>
      <c r="AB21" s="10">
        <v>1</v>
      </c>
      <c r="AC21" s="10">
        <v>0</v>
      </c>
      <c r="AD21" s="10" t="s">
        <v>1271</v>
      </c>
      <c r="AE21" s="10">
        <v>31</v>
      </c>
      <c r="AF21" s="10">
        <v>30</v>
      </c>
      <c r="AG21" s="10">
        <v>2</v>
      </c>
      <c r="AH21" s="10">
        <v>3</v>
      </c>
      <c r="AI21" s="10">
        <v>1</v>
      </c>
      <c r="AJ21" s="10">
        <v>0</v>
      </c>
      <c r="AK21" s="10" t="s">
        <v>1323</v>
      </c>
      <c r="AL21" s="10">
        <v>0</v>
      </c>
      <c r="AM21" s="10">
        <v>1</v>
      </c>
      <c r="AN21" s="10">
        <v>1</v>
      </c>
      <c r="AO21" s="10" t="s">
        <v>1349</v>
      </c>
    </row>
    <row r="22" spans="1:42" s="10" customFormat="1">
      <c r="A22" s="10" t="s">
        <v>1243</v>
      </c>
      <c r="B22" s="31" t="s">
        <v>17</v>
      </c>
      <c r="C22" s="10" t="s">
        <v>1253</v>
      </c>
      <c r="D22" s="10">
        <f t="shared" si="2"/>
        <v>66</v>
      </c>
      <c r="E22" s="11">
        <v>44880</v>
      </c>
      <c r="F22" s="11">
        <v>44946</v>
      </c>
      <c r="G22" s="10">
        <v>0</v>
      </c>
      <c r="H22" s="10">
        <v>1</v>
      </c>
      <c r="I22" s="10">
        <v>4</v>
      </c>
      <c r="J22" s="10">
        <v>0</v>
      </c>
      <c r="K22" s="10">
        <v>0</v>
      </c>
      <c r="L22" s="10">
        <v>0</v>
      </c>
      <c r="M22" s="10">
        <v>0</v>
      </c>
      <c r="N22" s="10">
        <v>7.17085638010232</v>
      </c>
      <c r="O22" s="10">
        <v>0</v>
      </c>
      <c r="P22" s="10">
        <v>1</v>
      </c>
      <c r="Q22" s="10">
        <v>0</v>
      </c>
      <c r="R22" s="10" t="s">
        <v>1299</v>
      </c>
      <c r="S22" s="10">
        <v>3</v>
      </c>
      <c r="T22" s="10">
        <v>1.5</v>
      </c>
      <c r="U22" s="10">
        <f>3*60+40-3</f>
        <v>217</v>
      </c>
      <c r="V22" s="10">
        <v>2</v>
      </c>
      <c r="W22" s="10">
        <v>3</v>
      </c>
      <c r="X22" s="10">
        <v>0</v>
      </c>
      <c r="Y22" s="10">
        <v>3</v>
      </c>
      <c r="Z22" s="10">
        <v>7.2383540528640804</v>
      </c>
      <c r="AA22" s="10">
        <v>0</v>
      </c>
      <c r="AB22" s="10">
        <v>1</v>
      </c>
      <c r="AC22" s="10">
        <v>0</v>
      </c>
      <c r="AD22" s="10" t="s">
        <v>1272</v>
      </c>
      <c r="AE22" s="10">
        <v>0.5</v>
      </c>
      <c r="AF22" s="10">
        <v>182</v>
      </c>
      <c r="AG22" s="10">
        <v>3</v>
      </c>
      <c r="AH22" s="10">
        <v>4</v>
      </c>
      <c r="AI22" s="10">
        <v>0</v>
      </c>
      <c r="AJ22" s="10">
        <v>3</v>
      </c>
      <c r="AK22" s="10" t="s">
        <v>1324</v>
      </c>
      <c r="AL22" s="10">
        <v>3</v>
      </c>
      <c r="AM22" s="10">
        <v>3</v>
      </c>
      <c r="AN22" s="10">
        <v>2</v>
      </c>
      <c r="AO22" s="10" t="s">
        <v>1350</v>
      </c>
    </row>
    <row r="23" spans="1:42" s="10" customFormat="1">
      <c r="A23" s="10" t="s">
        <v>1244</v>
      </c>
      <c r="B23" s="31" t="s">
        <v>17</v>
      </c>
      <c r="C23" s="10" t="s">
        <v>1253</v>
      </c>
      <c r="D23" s="10">
        <f t="shared" si="2"/>
        <v>66</v>
      </c>
      <c r="E23" s="11">
        <v>44880</v>
      </c>
      <c r="F23" s="11">
        <v>44946</v>
      </c>
      <c r="G23" s="10">
        <v>0</v>
      </c>
      <c r="H23" s="10">
        <v>1</v>
      </c>
      <c r="I23" s="10">
        <v>11</v>
      </c>
      <c r="J23" s="10">
        <v>1</v>
      </c>
      <c r="K23" s="10">
        <v>1</v>
      </c>
      <c r="L23" s="10">
        <v>0</v>
      </c>
      <c r="M23" s="10">
        <v>0</v>
      </c>
      <c r="N23" s="10">
        <v>3.2752362199099898</v>
      </c>
      <c r="O23" s="10">
        <v>3</v>
      </c>
      <c r="P23" s="10">
        <v>2</v>
      </c>
      <c r="Q23" s="10">
        <v>0</v>
      </c>
      <c r="R23" s="10" t="s">
        <v>1300</v>
      </c>
      <c r="S23" s="10">
        <v>589</v>
      </c>
      <c r="T23" s="10">
        <v>29</v>
      </c>
      <c r="U23" s="10">
        <f>127-11</f>
        <v>116</v>
      </c>
      <c r="V23" s="10">
        <v>3</v>
      </c>
      <c r="W23" s="10">
        <v>5</v>
      </c>
      <c r="X23" s="10">
        <v>1</v>
      </c>
      <c r="Y23" s="10">
        <v>0</v>
      </c>
      <c r="Z23" s="10">
        <v>5.9980340881896099</v>
      </c>
      <c r="AA23" s="10">
        <v>3</v>
      </c>
      <c r="AB23" s="10">
        <v>2</v>
      </c>
      <c r="AC23" s="10">
        <v>0</v>
      </c>
      <c r="AD23" s="10" t="s">
        <v>1273</v>
      </c>
      <c r="AE23" s="10">
        <v>2.5</v>
      </c>
      <c r="AF23" s="10">
        <v>92</v>
      </c>
      <c r="AG23" s="10">
        <v>3</v>
      </c>
      <c r="AH23" s="10">
        <v>3</v>
      </c>
      <c r="AI23" s="10">
        <v>1</v>
      </c>
      <c r="AJ23" s="10">
        <v>1</v>
      </c>
      <c r="AK23" s="10" t="s">
        <v>1325</v>
      </c>
      <c r="AL23" s="10">
        <v>0</v>
      </c>
      <c r="AM23" s="10">
        <v>1</v>
      </c>
      <c r="AN23" s="10">
        <v>0</v>
      </c>
      <c r="AO23" s="10" t="s">
        <v>1351</v>
      </c>
    </row>
    <row r="24" spans="1:42" s="45" customFormat="1">
      <c r="A24" s="45" t="s">
        <v>1245</v>
      </c>
      <c r="B24" s="90" t="s">
        <v>17</v>
      </c>
      <c r="C24" s="45" t="s">
        <v>1252</v>
      </c>
      <c r="D24" s="45">
        <v>66</v>
      </c>
      <c r="E24" s="177">
        <v>44880</v>
      </c>
      <c r="F24" s="177">
        <v>44946</v>
      </c>
      <c r="G24" s="45">
        <v>1</v>
      </c>
      <c r="H24" s="45">
        <v>0</v>
      </c>
      <c r="I24" s="45">
        <v>3</v>
      </c>
      <c r="J24" s="45">
        <v>0</v>
      </c>
      <c r="K24" s="45">
        <v>0</v>
      </c>
      <c r="L24" s="45">
        <v>0</v>
      </c>
      <c r="M24" s="45">
        <v>0</v>
      </c>
      <c r="N24" s="45">
        <v>14.5269577634693</v>
      </c>
      <c r="O24" s="45">
        <v>0</v>
      </c>
      <c r="P24" s="45">
        <v>1</v>
      </c>
      <c r="Q24" s="45">
        <v>0</v>
      </c>
      <c r="R24" s="45" t="s">
        <v>1301</v>
      </c>
      <c r="S24" s="45">
        <f>62-14</f>
        <v>48</v>
      </c>
      <c r="T24" s="45">
        <v>10</v>
      </c>
      <c r="U24" s="45">
        <v>82</v>
      </c>
      <c r="V24" s="45">
        <v>2</v>
      </c>
      <c r="W24" s="45">
        <v>2</v>
      </c>
      <c r="X24" s="45">
        <v>0</v>
      </c>
      <c r="Y24" s="45">
        <v>1</v>
      </c>
      <c r="Z24" s="45">
        <v>9.6761136832922894</v>
      </c>
      <c r="AA24" s="45">
        <v>0</v>
      </c>
      <c r="AB24" s="45">
        <v>1</v>
      </c>
      <c r="AC24" s="45">
        <v>0</v>
      </c>
      <c r="AD24" s="45" t="s">
        <v>1274</v>
      </c>
      <c r="AE24" s="45">
        <f>137-92</f>
        <v>45</v>
      </c>
      <c r="AF24" s="45">
        <f>4*60+30</f>
        <v>270</v>
      </c>
      <c r="AG24" s="45">
        <v>7</v>
      </c>
      <c r="AH24" s="45">
        <v>8</v>
      </c>
      <c r="AI24" s="45">
        <v>0</v>
      </c>
      <c r="AJ24" s="45">
        <v>5</v>
      </c>
      <c r="AK24" s="45" t="s">
        <v>1326</v>
      </c>
      <c r="AL24" s="45">
        <v>2</v>
      </c>
      <c r="AM24" s="45">
        <v>2</v>
      </c>
      <c r="AN24" s="45">
        <v>1</v>
      </c>
      <c r="AO24" s="45" t="s">
        <v>1352</v>
      </c>
      <c r="AP24" s="45" t="s">
        <v>1353</v>
      </c>
    </row>
    <row r="25" spans="1:42" s="10" customFormat="1">
      <c r="A25" s="10" t="s">
        <v>1246</v>
      </c>
      <c r="B25" s="31" t="s">
        <v>17</v>
      </c>
      <c r="C25" s="10" t="s">
        <v>1253</v>
      </c>
      <c r="D25" s="10">
        <f t="shared" ref="D25:D30" si="3">F25-E25</f>
        <v>66</v>
      </c>
      <c r="E25" s="11">
        <v>44880</v>
      </c>
      <c r="F25" s="11">
        <v>44946</v>
      </c>
      <c r="G25" s="10">
        <v>0</v>
      </c>
      <c r="H25" s="10">
        <v>1</v>
      </c>
      <c r="I25" s="10">
        <v>4</v>
      </c>
      <c r="J25" s="10">
        <v>0</v>
      </c>
      <c r="K25" s="10">
        <v>0</v>
      </c>
      <c r="L25" s="10">
        <v>0</v>
      </c>
      <c r="M25" s="10">
        <v>0</v>
      </c>
      <c r="N25" s="10">
        <v>9.4775093672219199</v>
      </c>
      <c r="O25" s="10">
        <v>0</v>
      </c>
      <c r="P25" s="10">
        <v>1</v>
      </c>
      <c r="Q25" s="10">
        <v>1</v>
      </c>
      <c r="R25" s="10" t="s">
        <v>1302</v>
      </c>
      <c r="S25" s="10">
        <v>596</v>
      </c>
      <c r="T25" s="10">
        <v>16.5</v>
      </c>
      <c r="U25" s="10">
        <f>2*60+47</f>
        <v>167</v>
      </c>
      <c r="V25" s="10">
        <v>2</v>
      </c>
      <c r="W25" s="10">
        <v>3</v>
      </c>
      <c r="X25" s="10">
        <v>0</v>
      </c>
      <c r="Y25" s="10">
        <v>3</v>
      </c>
      <c r="Z25" s="10">
        <v>9.7859162642892006</v>
      </c>
      <c r="AA25" s="10">
        <v>2</v>
      </c>
      <c r="AB25" s="10">
        <v>3</v>
      </c>
      <c r="AC25" s="10">
        <v>2</v>
      </c>
      <c r="AD25" s="10" t="s">
        <v>1275</v>
      </c>
      <c r="AE25" s="10">
        <v>3</v>
      </c>
      <c r="AF25" s="10">
        <f>14-9</f>
        <v>5</v>
      </c>
      <c r="AG25" s="10">
        <v>0</v>
      </c>
      <c r="AH25" s="10">
        <v>0</v>
      </c>
      <c r="AI25" s="10">
        <v>0</v>
      </c>
      <c r="AJ25" s="10">
        <v>1</v>
      </c>
      <c r="AK25" s="10" t="s">
        <v>1327</v>
      </c>
      <c r="AL25" s="10">
        <v>2</v>
      </c>
      <c r="AM25" s="10">
        <v>3</v>
      </c>
      <c r="AN25" s="10">
        <v>1</v>
      </c>
      <c r="AO25" s="10" t="s">
        <v>1354</v>
      </c>
    </row>
    <row r="26" spans="1:42" s="10" customFormat="1">
      <c r="A26" s="10" t="s">
        <v>1247</v>
      </c>
      <c r="B26" s="31" t="s">
        <v>17</v>
      </c>
      <c r="C26" s="10" t="s">
        <v>1253</v>
      </c>
      <c r="D26" s="10">
        <f t="shared" si="3"/>
        <v>66</v>
      </c>
      <c r="E26" s="11">
        <v>44880</v>
      </c>
      <c r="F26" s="11">
        <v>44946</v>
      </c>
      <c r="G26" s="10">
        <v>0</v>
      </c>
      <c r="H26" s="10">
        <v>1</v>
      </c>
      <c r="I26" s="10">
        <v>5</v>
      </c>
      <c r="J26" s="10">
        <v>0</v>
      </c>
      <c r="K26" s="10">
        <v>0</v>
      </c>
      <c r="L26" s="10">
        <v>0</v>
      </c>
      <c r="M26" s="10">
        <v>0</v>
      </c>
      <c r="N26" s="10">
        <v>9.6038091386819406</v>
      </c>
      <c r="O26" s="10">
        <v>0</v>
      </c>
      <c r="P26" s="10">
        <v>1</v>
      </c>
      <c r="Q26" s="10">
        <v>0</v>
      </c>
      <c r="R26" s="10" t="s">
        <v>1303</v>
      </c>
      <c r="S26" s="10">
        <v>84</v>
      </c>
      <c r="T26" s="10">
        <v>12</v>
      </c>
      <c r="U26" s="10">
        <v>6</v>
      </c>
      <c r="V26" s="10">
        <v>0</v>
      </c>
      <c r="W26" s="10">
        <v>0</v>
      </c>
      <c r="X26" s="10">
        <v>0</v>
      </c>
      <c r="Y26" s="10">
        <v>0</v>
      </c>
      <c r="Z26" s="10">
        <v>7.7870795022166499</v>
      </c>
      <c r="AA26" s="10">
        <v>2</v>
      </c>
      <c r="AB26" s="10">
        <v>3</v>
      </c>
      <c r="AC26" s="10">
        <v>3</v>
      </c>
      <c r="AD26" s="10" t="s">
        <v>1276</v>
      </c>
      <c r="AE26" s="10">
        <v>594</v>
      </c>
      <c r="AF26" s="10">
        <f>4*60+10</f>
        <v>250</v>
      </c>
      <c r="AG26" s="10">
        <v>5</v>
      </c>
      <c r="AH26" s="10">
        <v>5</v>
      </c>
      <c r="AI26" s="10">
        <v>2</v>
      </c>
      <c r="AJ26" s="10">
        <v>1</v>
      </c>
      <c r="AK26" s="10" t="s">
        <v>1328</v>
      </c>
      <c r="AL26" s="10">
        <v>0</v>
      </c>
      <c r="AM26" s="10">
        <v>1</v>
      </c>
      <c r="AN26" s="10">
        <v>1</v>
      </c>
      <c r="AO26" s="10" t="s">
        <v>1355</v>
      </c>
    </row>
    <row r="27" spans="1:42" s="10" customFormat="1">
      <c r="A27" s="10" t="s">
        <v>1248</v>
      </c>
      <c r="B27" s="31" t="s">
        <v>17</v>
      </c>
      <c r="C27" s="10" t="s">
        <v>1253</v>
      </c>
      <c r="D27" s="10">
        <f t="shared" si="3"/>
        <v>66</v>
      </c>
      <c r="E27" s="11">
        <v>44880</v>
      </c>
      <c r="F27" s="11">
        <v>44946</v>
      </c>
      <c r="G27" s="10">
        <v>0</v>
      </c>
      <c r="H27" s="10">
        <v>1</v>
      </c>
      <c r="I27" s="10">
        <f>29-8</f>
        <v>21</v>
      </c>
      <c r="J27" s="10">
        <v>1</v>
      </c>
      <c r="K27" s="10">
        <v>1</v>
      </c>
      <c r="L27" s="10">
        <v>0</v>
      </c>
      <c r="M27" s="10">
        <v>1</v>
      </c>
      <c r="N27" s="10">
        <v>9.47158096199942</v>
      </c>
      <c r="O27" s="10">
        <v>0</v>
      </c>
      <c r="P27" s="10">
        <v>1</v>
      </c>
      <c r="Q27" s="10">
        <v>1</v>
      </c>
      <c r="R27" s="10" t="s">
        <v>1304</v>
      </c>
      <c r="S27" s="10">
        <f>45-29</f>
        <v>16</v>
      </c>
      <c r="T27" s="10">
        <v>1.5</v>
      </c>
      <c r="U27" s="10">
        <v>143</v>
      </c>
      <c r="V27" s="10">
        <v>5</v>
      </c>
      <c r="W27" s="10">
        <v>6</v>
      </c>
      <c r="X27" s="10">
        <v>2</v>
      </c>
      <c r="Y27" s="10">
        <v>2</v>
      </c>
      <c r="Z27" s="10">
        <v>5.7557818233814197</v>
      </c>
      <c r="AA27" s="10">
        <v>3</v>
      </c>
      <c r="AB27" s="10">
        <v>3</v>
      </c>
      <c r="AC27" s="10">
        <v>1</v>
      </c>
      <c r="AD27" s="10" t="s">
        <v>1277</v>
      </c>
      <c r="AE27" s="10">
        <v>3</v>
      </c>
      <c r="AF27" s="10">
        <v>600</v>
      </c>
      <c r="AG27" s="10">
        <v>19</v>
      </c>
      <c r="AH27" s="10">
        <v>19</v>
      </c>
      <c r="AI27" s="10">
        <v>1</v>
      </c>
      <c r="AJ27" s="10">
        <v>14</v>
      </c>
      <c r="AK27" s="10" t="s">
        <v>25</v>
      </c>
      <c r="AL27" s="10">
        <v>5</v>
      </c>
      <c r="AM27" s="10">
        <v>5</v>
      </c>
      <c r="AN27" s="10">
        <v>5</v>
      </c>
      <c r="AO27" s="10" t="s">
        <v>1268</v>
      </c>
    </row>
    <row r="28" spans="1:42" s="10" customFormat="1">
      <c r="A28" s="10" t="s">
        <v>1249</v>
      </c>
      <c r="B28" s="31" t="s">
        <v>17</v>
      </c>
      <c r="C28" s="10" t="s">
        <v>1253</v>
      </c>
      <c r="D28" s="10">
        <f t="shared" si="3"/>
        <v>66</v>
      </c>
      <c r="E28" s="11">
        <v>44880</v>
      </c>
      <c r="F28" s="11">
        <v>44946</v>
      </c>
      <c r="G28" s="10">
        <v>0</v>
      </c>
      <c r="H28" s="10">
        <v>1</v>
      </c>
      <c r="I28" s="10">
        <v>9</v>
      </c>
      <c r="J28" s="10">
        <v>0</v>
      </c>
      <c r="K28" s="10">
        <v>0</v>
      </c>
      <c r="L28" s="10">
        <v>0</v>
      </c>
      <c r="M28" s="10">
        <v>1</v>
      </c>
      <c r="N28" s="10">
        <v>12.8027715455832</v>
      </c>
      <c r="O28" s="10">
        <v>0</v>
      </c>
      <c r="P28" s="10">
        <v>1</v>
      </c>
      <c r="Q28" s="10">
        <v>1</v>
      </c>
      <c r="R28" s="10" t="s">
        <v>1305</v>
      </c>
      <c r="S28" s="10">
        <v>591</v>
      </c>
      <c r="T28" s="10">
        <v>10</v>
      </c>
      <c r="U28" s="10">
        <f>180+34</f>
        <v>214</v>
      </c>
      <c r="V28" s="10">
        <v>2</v>
      </c>
      <c r="W28" s="10">
        <v>5</v>
      </c>
      <c r="X28" s="10">
        <v>0</v>
      </c>
      <c r="Y28" s="10">
        <v>3</v>
      </c>
      <c r="Z28" s="10">
        <v>10.0416551425097</v>
      </c>
      <c r="AA28" s="10">
        <v>0</v>
      </c>
      <c r="AB28" s="10">
        <v>1</v>
      </c>
      <c r="AC28" s="10">
        <v>1</v>
      </c>
      <c r="AD28" s="10" t="s">
        <v>1278</v>
      </c>
      <c r="AE28" s="10">
        <v>6</v>
      </c>
      <c r="AF28" s="10">
        <v>198</v>
      </c>
      <c r="AG28" s="10">
        <v>3</v>
      </c>
      <c r="AH28" s="10">
        <v>3</v>
      </c>
      <c r="AI28" s="10">
        <v>0</v>
      </c>
      <c r="AJ28" s="10">
        <v>3</v>
      </c>
      <c r="AK28" s="10" t="s">
        <v>1329</v>
      </c>
      <c r="AL28" s="10">
        <v>0</v>
      </c>
      <c r="AM28" s="10">
        <v>1</v>
      </c>
      <c r="AN28" s="10">
        <v>1</v>
      </c>
      <c r="AO28" s="10" t="s">
        <v>1356</v>
      </c>
    </row>
    <row r="29" spans="1:42" s="10" customFormat="1">
      <c r="A29" s="10" t="s">
        <v>1250</v>
      </c>
      <c r="B29" s="31" t="s">
        <v>17</v>
      </c>
      <c r="C29" s="10" t="s">
        <v>1253</v>
      </c>
      <c r="D29" s="10">
        <f t="shared" si="3"/>
        <v>66</v>
      </c>
      <c r="E29" s="11">
        <v>44880</v>
      </c>
      <c r="F29" s="11">
        <v>44946</v>
      </c>
      <c r="G29" s="10">
        <v>0</v>
      </c>
      <c r="H29" s="10">
        <v>1</v>
      </c>
      <c r="I29" s="10">
        <v>20</v>
      </c>
      <c r="J29" s="10">
        <v>1</v>
      </c>
      <c r="K29" s="10">
        <v>0</v>
      </c>
      <c r="L29" s="10">
        <v>0</v>
      </c>
      <c r="M29" s="10">
        <v>0</v>
      </c>
      <c r="N29" s="10">
        <v>1</v>
      </c>
      <c r="O29" s="10">
        <v>0</v>
      </c>
      <c r="P29" s="10">
        <v>1</v>
      </c>
      <c r="Q29" s="10">
        <v>0</v>
      </c>
      <c r="R29" s="10" t="s">
        <v>1306</v>
      </c>
      <c r="S29" s="10">
        <v>140</v>
      </c>
      <c r="T29" s="10">
        <v>6.5</v>
      </c>
      <c r="U29" s="10">
        <v>126</v>
      </c>
      <c r="V29" s="10">
        <v>2</v>
      </c>
      <c r="W29" s="10">
        <v>3</v>
      </c>
      <c r="X29" s="10">
        <v>0</v>
      </c>
      <c r="Y29" s="10">
        <v>4</v>
      </c>
      <c r="Z29" s="10">
        <v>12.079617053474101</v>
      </c>
      <c r="AA29" s="10">
        <v>0</v>
      </c>
      <c r="AB29" s="10">
        <v>2</v>
      </c>
      <c r="AC29" s="10">
        <v>0</v>
      </c>
      <c r="AD29" s="10" t="s">
        <v>1279</v>
      </c>
      <c r="AE29" s="10">
        <v>7</v>
      </c>
      <c r="AF29" s="10">
        <v>335</v>
      </c>
      <c r="AG29" s="9">
        <v>9</v>
      </c>
      <c r="AH29" s="10">
        <v>11</v>
      </c>
      <c r="AI29" s="10">
        <v>2</v>
      </c>
      <c r="AJ29" s="10">
        <v>4</v>
      </c>
      <c r="AK29" s="10" t="s">
        <v>1330</v>
      </c>
      <c r="AL29" s="10">
        <v>2</v>
      </c>
      <c r="AM29" s="10">
        <v>2</v>
      </c>
      <c r="AN29" s="10">
        <v>1</v>
      </c>
      <c r="AO29" s="10" t="s">
        <v>1357</v>
      </c>
    </row>
    <row r="30" spans="1:42" s="10" customFormat="1">
      <c r="A30" s="10" t="s">
        <v>1251</v>
      </c>
      <c r="B30" s="31" t="s">
        <v>17</v>
      </c>
      <c r="C30" s="10" t="s">
        <v>1253</v>
      </c>
      <c r="D30" s="10">
        <f t="shared" si="3"/>
        <v>66</v>
      </c>
      <c r="E30" s="11">
        <v>44880</v>
      </c>
      <c r="F30" s="11">
        <v>44946</v>
      </c>
      <c r="G30" s="10">
        <v>0</v>
      </c>
      <c r="H30" s="10">
        <v>1</v>
      </c>
      <c r="I30" s="10">
        <v>11</v>
      </c>
      <c r="J30" s="10">
        <v>1</v>
      </c>
      <c r="K30" s="10">
        <v>1</v>
      </c>
      <c r="L30" s="10">
        <v>1</v>
      </c>
      <c r="M30" s="10">
        <v>0</v>
      </c>
      <c r="N30" s="10">
        <v>3.9192180031875399</v>
      </c>
      <c r="O30" s="10">
        <v>0</v>
      </c>
      <c r="P30" s="10">
        <v>1</v>
      </c>
      <c r="Q30" s="10">
        <v>0</v>
      </c>
      <c r="R30" s="10" t="s">
        <v>1307</v>
      </c>
      <c r="S30" s="10">
        <v>589</v>
      </c>
      <c r="T30" s="10">
        <v>10</v>
      </c>
      <c r="U30" s="10">
        <v>97</v>
      </c>
      <c r="V30" s="10">
        <v>2</v>
      </c>
      <c r="W30" s="10">
        <v>2</v>
      </c>
      <c r="X30" s="10">
        <v>0</v>
      </c>
      <c r="Y30" s="10">
        <v>3</v>
      </c>
      <c r="Z30" s="10">
        <v>8.7490283405876905</v>
      </c>
      <c r="AA30" s="10">
        <v>3</v>
      </c>
      <c r="AB30" s="10">
        <v>2</v>
      </c>
      <c r="AC30" s="10">
        <v>0</v>
      </c>
      <c r="AD30" s="10" t="s">
        <v>1280</v>
      </c>
      <c r="AE30" s="10">
        <v>3</v>
      </c>
      <c r="AF30" s="10">
        <v>91</v>
      </c>
      <c r="AG30" s="10">
        <v>4</v>
      </c>
      <c r="AH30" s="10">
        <v>5</v>
      </c>
      <c r="AI30" s="10">
        <v>0</v>
      </c>
      <c r="AJ30" s="10">
        <v>2</v>
      </c>
      <c r="AK30" s="10" t="s">
        <v>1331</v>
      </c>
      <c r="AL30" s="10">
        <v>3</v>
      </c>
      <c r="AM30" s="10">
        <v>3</v>
      </c>
      <c r="AN30" s="10">
        <v>1</v>
      </c>
      <c r="AO30" s="10" t="s">
        <v>1358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8ABF-8757-B142-8F35-835075383341}">
  <dimension ref="A1:CB28"/>
  <sheetViews>
    <sheetView topLeftCell="F1" workbookViewId="0">
      <selection activeCell="A24" sqref="A24:XFD25"/>
    </sheetView>
  </sheetViews>
  <sheetFormatPr baseColWidth="10" defaultRowHeight="16"/>
  <sheetData>
    <row r="1" spans="1:80" ht="21">
      <c r="A1" s="40"/>
      <c r="B1" s="176"/>
      <c r="C1" s="176"/>
      <c r="D1" s="40"/>
      <c r="E1" s="40"/>
      <c r="F1" s="40"/>
      <c r="G1" s="40"/>
      <c r="H1" s="40"/>
      <c r="I1" s="165" t="s">
        <v>268</v>
      </c>
      <c r="J1" s="38"/>
      <c r="K1" s="38"/>
      <c r="L1" s="38"/>
      <c r="M1" s="38"/>
      <c r="N1" s="38"/>
      <c r="O1" s="38"/>
      <c r="P1" s="38"/>
      <c r="Q1" s="38"/>
      <c r="R1" s="38"/>
      <c r="S1" s="165"/>
      <c r="T1" s="38"/>
      <c r="U1" s="163" t="s">
        <v>787</v>
      </c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40"/>
      <c r="AG1" s="40"/>
      <c r="AH1" s="40"/>
      <c r="AI1" s="40"/>
      <c r="AJ1" s="166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</row>
    <row r="2" spans="1:80" ht="21">
      <c r="A2" s="40"/>
      <c r="B2" s="176"/>
      <c r="C2" s="176"/>
      <c r="D2" s="40"/>
      <c r="E2" s="40"/>
      <c r="F2" s="40"/>
      <c r="G2" s="40"/>
      <c r="H2" s="40"/>
      <c r="I2" s="61" t="s">
        <v>270</v>
      </c>
      <c r="J2" s="88"/>
      <c r="K2" s="88"/>
      <c r="L2" s="88"/>
      <c r="M2" s="88"/>
      <c r="N2" s="88"/>
      <c r="O2" s="88"/>
      <c r="P2" s="88"/>
      <c r="Q2" s="88"/>
      <c r="R2" s="61"/>
      <c r="S2" s="89"/>
      <c r="T2" s="166"/>
      <c r="U2" s="61" t="s">
        <v>270</v>
      </c>
      <c r="V2" s="88"/>
      <c r="W2" s="88"/>
      <c r="X2" s="88"/>
      <c r="Y2" s="88"/>
      <c r="Z2" s="88"/>
      <c r="AA2" s="88"/>
      <c r="AB2" s="88"/>
      <c r="AC2" s="88"/>
      <c r="AD2" s="61"/>
      <c r="AE2" s="61"/>
      <c r="AF2" s="40"/>
      <c r="AG2" s="40"/>
      <c r="AH2" s="40"/>
      <c r="AI2" s="40"/>
      <c r="AJ2" s="166"/>
      <c r="AK2" s="89"/>
      <c r="AL2" s="89"/>
      <c r="AM2" s="89"/>
      <c r="AN2" s="89"/>
      <c r="AO2" s="89"/>
      <c r="AP2" s="89"/>
      <c r="AQ2" s="89"/>
      <c r="AR2" s="89"/>
      <c r="AS2" s="89"/>
      <c r="AT2" s="166"/>
      <c r="AU2" s="89"/>
      <c r="AV2" s="89"/>
      <c r="AW2" s="89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</row>
    <row r="3" spans="1:80" s="24" customFormat="1">
      <c r="A3" s="167" t="s">
        <v>0</v>
      </c>
      <c r="B3" s="168" t="s">
        <v>592</v>
      </c>
      <c r="C3" s="168" t="s">
        <v>1104</v>
      </c>
      <c r="D3" s="168" t="s">
        <v>3</v>
      </c>
      <c r="E3" s="169" t="s">
        <v>4</v>
      </c>
      <c r="F3" s="169" t="s">
        <v>5</v>
      </c>
      <c r="G3" s="169" t="s">
        <v>584</v>
      </c>
      <c r="H3" s="168" t="s">
        <v>15</v>
      </c>
      <c r="I3" s="168" t="s">
        <v>774</v>
      </c>
      <c r="J3" s="168" t="s">
        <v>775</v>
      </c>
      <c r="K3" s="168" t="s">
        <v>777</v>
      </c>
      <c r="L3" s="168" t="s">
        <v>778</v>
      </c>
      <c r="M3" s="168" t="s">
        <v>779</v>
      </c>
      <c r="N3" s="170" t="s">
        <v>780</v>
      </c>
      <c r="O3" s="171" t="s">
        <v>781</v>
      </c>
      <c r="P3" s="171" t="s">
        <v>782</v>
      </c>
      <c r="Q3" s="171" t="s">
        <v>783</v>
      </c>
      <c r="R3" s="172" t="s">
        <v>272</v>
      </c>
      <c r="S3" s="172" t="s">
        <v>785</v>
      </c>
      <c r="T3" s="172" t="s">
        <v>784</v>
      </c>
      <c r="U3" s="168" t="s">
        <v>774</v>
      </c>
      <c r="V3" s="168" t="s">
        <v>775</v>
      </c>
      <c r="W3" s="168" t="s">
        <v>777</v>
      </c>
      <c r="X3" s="168" t="s">
        <v>778</v>
      </c>
      <c r="Y3" s="168" t="s">
        <v>779</v>
      </c>
      <c r="Z3" s="170" t="s">
        <v>780</v>
      </c>
      <c r="AA3" s="171" t="s">
        <v>781</v>
      </c>
      <c r="AB3" s="171" t="s">
        <v>782</v>
      </c>
      <c r="AC3" s="171" t="s">
        <v>783</v>
      </c>
      <c r="AD3" s="172" t="s">
        <v>272</v>
      </c>
      <c r="AE3" s="172" t="s">
        <v>785</v>
      </c>
    </row>
    <row r="4" spans="1:80">
      <c r="A4" s="9" t="s">
        <v>1359</v>
      </c>
      <c r="B4" s="24" t="s">
        <v>17</v>
      </c>
      <c r="C4" s="24" t="s">
        <v>1419</v>
      </c>
      <c r="D4" s="24">
        <f t="shared" ref="D4:D8" si="0">F4-E4</f>
        <v>63</v>
      </c>
      <c r="E4" s="184">
        <v>43683</v>
      </c>
      <c r="F4" s="184">
        <v>43746</v>
      </c>
      <c r="I4">
        <v>10</v>
      </c>
      <c r="J4" s="40">
        <v>1</v>
      </c>
      <c r="K4" s="40">
        <v>1</v>
      </c>
      <c r="L4" s="40">
        <v>0</v>
      </c>
      <c r="M4" s="40">
        <v>0</v>
      </c>
      <c r="N4" t="s">
        <v>1397</v>
      </c>
      <c r="O4">
        <v>0</v>
      </c>
      <c r="P4">
        <v>1</v>
      </c>
      <c r="Q4">
        <v>0</v>
      </c>
      <c r="U4" s="47">
        <v>80</v>
      </c>
      <c r="V4" s="172">
        <v>3</v>
      </c>
      <c r="W4" s="172">
        <v>2</v>
      </c>
      <c r="X4" s="47">
        <v>0</v>
      </c>
      <c r="Y4" s="47">
        <v>1</v>
      </c>
      <c r="Z4" t="s">
        <v>1375</v>
      </c>
      <c r="AA4">
        <v>0</v>
      </c>
      <c r="AB4">
        <v>1</v>
      </c>
      <c r="AC4">
        <v>1</v>
      </c>
    </row>
    <row r="5" spans="1:80">
      <c r="A5" s="9" t="s">
        <v>1360</v>
      </c>
      <c r="B5" s="24" t="s">
        <v>17</v>
      </c>
      <c r="C5" s="24" t="s">
        <v>1419</v>
      </c>
      <c r="D5" s="24">
        <f t="shared" si="0"/>
        <v>65</v>
      </c>
      <c r="E5" s="184">
        <v>43683</v>
      </c>
      <c r="F5" s="184">
        <v>43748</v>
      </c>
      <c r="I5">
        <v>3</v>
      </c>
      <c r="J5" s="40">
        <v>0</v>
      </c>
      <c r="K5" s="40">
        <v>0</v>
      </c>
      <c r="L5" s="40">
        <v>0</v>
      </c>
      <c r="M5" s="40">
        <v>0</v>
      </c>
      <c r="N5" t="s">
        <v>1398</v>
      </c>
      <c r="O5">
        <v>2</v>
      </c>
      <c r="P5">
        <v>2</v>
      </c>
      <c r="Q5">
        <v>1</v>
      </c>
      <c r="U5" s="47">
        <v>9</v>
      </c>
      <c r="V5" s="172">
        <v>0</v>
      </c>
      <c r="W5" s="172">
        <v>0</v>
      </c>
      <c r="X5" s="172">
        <v>0</v>
      </c>
      <c r="Y5" s="172">
        <v>0</v>
      </c>
      <c r="Z5" t="s">
        <v>1376</v>
      </c>
      <c r="AA5">
        <v>2</v>
      </c>
      <c r="AB5">
        <v>3</v>
      </c>
      <c r="AC5">
        <v>1</v>
      </c>
    </row>
    <row r="6" spans="1:80">
      <c r="A6" s="9" t="s">
        <v>1361</v>
      </c>
      <c r="B6" s="24" t="s">
        <v>41</v>
      </c>
      <c r="C6" s="24" t="s">
        <v>70</v>
      </c>
      <c r="D6" s="24">
        <f t="shared" si="0"/>
        <v>74</v>
      </c>
      <c r="E6" s="184">
        <v>43968</v>
      </c>
      <c r="F6" s="184">
        <v>44042</v>
      </c>
      <c r="I6">
        <v>7</v>
      </c>
      <c r="J6" s="40">
        <v>0</v>
      </c>
      <c r="K6" s="40">
        <v>0</v>
      </c>
      <c r="L6" s="40">
        <v>0</v>
      </c>
      <c r="M6" s="40">
        <v>0</v>
      </c>
      <c r="N6" t="s">
        <v>1399</v>
      </c>
      <c r="O6">
        <v>1</v>
      </c>
      <c r="P6">
        <v>1</v>
      </c>
      <c r="Q6">
        <v>2</v>
      </c>
      <c r="U6" s="47">
        <v>6</v>
      </c>
      <c r="V6" s="172">
        <v>0</v>
      </c>
      <c r="W6" s="172">
        <v>0</v>
      </c>
      <c r="X6" s="172">
        <v>0</v>
      </c>
      <c r="Y6" s="172">
        <v>0</v>
      </c>
      <c r="Z6" t="s">
        <v>1377</v>
      </c>
      <c r="AA6">
        <v>1</v>
      </c>
      <c r="AB6">
        <v>1</v>
      </c>
      <c r="AC6">
        <v>1</v>
      </c>
    </row>
    <row r="7" spans="1:80">
      <c r="A7" s="9" t="s">
        <v>1362</v>
      </c>
      <c r="B7" s="24" t="s">
        <v>17</v>
      </c>
      <c r="C7" s="24" t="s">
        <v>34</v>
      </c>
      <c r="D7" s="24">
        <f t="shared" si="0"/>
        <v>61</v>
      </c>
      <c r="E7" s="184">
        <v>44117</v>
      </c>
      <c r="F7" s="184">
        <v>44178</v>
      </c>
      <c r="I7">
        <v>47</v>
      </c>
      <c r="J7" s="40">
        <v>0</v>
      </c>
      <c r="K7" s="40">
        <v>2</v>
      </c>
      <c r="L7" s="40">
        <v>0</v>
      </c>
      <c r="M7" s="40">
        <v>2</v>
      </c>
      <c r="N7" t="s">
        <v>1400</v>
      </c>
      <c r="O7">
        <v>0</v>
      </c>
      <c r="P7">
        <v>1</v>
      </c>
      <c r="Q7">
        <v>2</v>
      </c>
      <c r="U7" s="47">
        <v>4</v>
      </c>
      <c r="V7" s="172">
        <v>0</v>
      </c>
      <c r="W7" s="172">
        <v>0</v>
      </c>
      <c r="X7" s="172">
        <v>0</v>
      </c>
      <c r="Y7" s="172">
        <v>0</v>
      </c>
      <c r="Z7" t="s">
        <v>1378</v>
      </c>
      <c r="AA7">
        <v>2</v>
      </c>
      <c r="AB7">
        <v>1</v>
      </c>
      <c r="AC7">
        <v>1</v>
      </c>
    </row>
    <row r="8" spans="1:80">
      <c r="A8" s="9" t="s">
        <v>1363</v>
      </c>
      <c r="B8" s="24" t="s">
        <v>17</v>
      </c>
      <c r="C8" s="182" t="s">
        <v>34</v>
      </c>
      <c r="D8" s="182">
        <f t="shared" si="0"/>
        <v>63</v>
      </c>
      <c r="E8" s="281">
        <v>44117</v>
      </c>
      <c r="F8" s="281">
        <v>44180</v>
      </c>
      <c r="I8">
        <v>3</v>
      </c>
      <c r="J8" s="40">
        <v>0</v>
      </c>
      <c r="K8" s="40">
        <v>0</v>
      </c>
      <c r="L8" s="40">
        <v>0</v>
      </c>
      <c r="M8" s="40">
        <v>0</v>
      </c>
      <c r="N8" t="s">
        <v>1401</v>
      </c>
      <c r="O8">
        <v>0</v>
      </c>
      <c r="P8">
        <v>1</v>
      </c>
      <c r="Q8">
        <v>0</v>
      </c>
      <c r="U8" s="1">
        <v>240</v>
      </c>
      <c r="V8" s="1">
        <v>7</v>
      </c>
      <c r="W8" s="1">
        <v>4</v>
      </c>
      <c r="X8" s="1">
        <v>2</v>
      </c>
      <c r="Y8" s="1">
        <v>5</v>
      </c>
      <c r="Z8" s="37" t="s">
        <v>1379</v>
      </c>
      <c r="AA8" s="37">
        <v>2</v>
      </c>
      <c r="AB8" s="37">
        <v>3</v>
      </c>
      <c r="AC8" s="37">
        <v>1</v>
      </c>
    </row>
    <row r="9" spans="1:80">
      <c r="A9" s="9" t="s">
        <v>1364</v>
      </c>
      <c r="B9" s="24" t="s">
        <v>41</v>
      </c>
      <c r="C9" s="24" t="s">
        <v>34</v>
      </c>
      <c r="F9" s="282">
        <v>44833</v>
      </c>
      <c r="I9">
        <v>2</v>
      </c>
      <c r="J9" s="40">
        <v>0</v>
      </c>
      <c r="K9" s="40">
        <v>0</v>
      </c>
      <c r="L9" s="40">
        <v>0</v>
      </c>
      <c r="M9" s="40">
        <v>0</v>
      </c>
      <c r="N9" t="s">
        <v>1402</v>
      </c>
      <c r="O9">
        <v>0</v>
      </c>
      <c r="P9">
        <v>1</v>
      </c>
      <c r="Q9">
        <v>0</v>
      </c>
      <c r="U9" s="47">
        <v>2</v>
      </c>
      <c r="V9" s="172">
        <v>0</v>
      </c>
      <c r="W9" s="172">
        <v>0</v>
      </c>
      <c r="X9" s="172">
        <v>0</v>
      </c>
      <c r="Y9" s="172">
        <v>0</v>
      </c>
      <c r="Z9" t="s">
        <v>1380</v>
      </c>
      <c r="AA9">
        <v>2</v>
      </c>
      <c r="AB9">
        <v>3</v>
      </c>
      <c r="AC9">
        <v>1</v>
      </c>
    </row>
    <row r="10" spans="1:80">
      <c r="A10" s="9" t="s">
        <v>1365</v>
      </c>
      <c r="B10" s="24" t="s">
        <v>41</v>
      </c>
      <c r="C10" s="24" t="s">
        <v>34</v>
      </c>
      <c r="F10" s="282">
        <v>44833</v>
      </c>
      <c r="I10">
        <v>132</v>
      </c>
      <c r="J10" s="40">
        <v>2</v>
      </c>
      <c r="K10" s="40">
        <v>2</v>
      </c>
      <c r="L10" s="40">
        <v>2</v>
      </c>
      <c r="M10" s="40">
        <v>1</v>
      </c>
      <c r="N10" t="s">
        <v>1403</v>
      </c>
      <c r="O10">
        <v>0</v>
      </c>
      <c r="P10">
        <v>1</v>
      </c>
      <c r="Q10">
        <v>1</v>
      </c>
      <c r="U10" s="47">
        <v>3</v>
      </c>
      <c r="V10" s="172">
        <v>0</v>
      </c>
      <c r="W10" s="172">
        <v>0</v>
      </c>
      <c r="X10" s="172">
        <v>0</v>
      </c>
      <c r="Y10" s="47">
        <v>1</v>
      </c>
      <c r="Z10" s="186" t="s">
        <v>1381</v>
      </c>
      <c r="AA10">
        <v>2</v>
      </c>
      <c r="AB10">
        <v>3</v>
      </c>
      <c r="AC10">
        <v>1</v>
      </c>
    </row>
    <row r="11" spans="1:80">
      <c r="A11" s="9" t="s">
        <v>1366</v>
      </c>
      <c r="B11" s="24" t="s">
        <v>41</v>
      </c>
      <c r="C11" s="24" t="s">
        <v>34</v>
      </c>
      <c r="F11" s="282">
        <v>44833</v>
      </c>
      <c r="I11">
        <v>8</v>
      </c>
      <c r="J11" s="40">
        <v>0</v>
      </c>
      <c r="K11" s="40">
        <v>0</v>
      </c>
      <c r="L11" s="40">
        <v>0</v>
      </c>
      <c r="M11" s="40">
        <v>0</v>
      </c>
      <c r="N11" t="s">
        <v>1404</v>
      </c>
      <c r="O11">
        <v>1</v>
      </c>
      <c r="P11">
        <v>1</v>
      </c>
      <c r="Q11">
        <v>1</v>
      </c>
      <c r="U11" s="47">
        <v>10</v>
      </c>
      <c r="V11" s="47">
        <v>0</v>
      </c>
      <c r="W11" s="47">
        <v>0</v>
      </c>
      <c r="X11" s="47">
        <v>0</v>
      </c>
      <c r="Y11" s="47">
        <v>1</v>
      </c>
      <c r="Z11" t="s">
        <v>1382</v>
      </c>
      <c r="AA11">
        <v>1</v>
      </c>
      <c r="AB11">
        <v>1</v>
      </c>
      <c r="AC11">
        <v>1</v>
      </c>
    </row>
    <row r="12" spans="1:80">
      <c r="A12" s="9" t="s">
        <v>1367</v>
      </c>
      <c r="B12" s="24" t="s">
        <v>41</v>
      </c>
      <c r="C12" s="24" t="s">
        <v>34</v>
      </c>
      <c r="F12" s="282">
        <v>44833</v>
      </c>
      <c r="I12">
        <v>10</v>
      </c>
      <c r="J12" s="40">
        <v>0</v>
      </c>
      <c r="K12" s="40">
        <v>0</v>
      </c>
      <c r="L12" s="40">
        <v>0</v>
      </c>
      <c r="M12" s="40">
        <v>1</v>
      </c>
      <c r="N12" t="s">
        <v>1405</v>
      </c>
      <c r="O12">
        <v>2</v>
      </c>
      <c r="P12">
        <v>3</v>
      </c>
      <c r="Q12">
        <v>1</v>
      </c>
      <c r="U12" s="47">
        <v>1</v>
      </c>
      <c r="V12" s="172">
        <v>0</v>
      </c>
      <c r="W12" s="172">
        <v>0</v>
      </c>
      <c r="X12" s="172">
        <v>0</v>
      </c>
      <c r="Y12" s="172">
        <v>0</v>
      </c>
      <c r="Z12" t="s">
        <v>1383</v>
      </c>
      <c r="AA12">
        <v>0</v>
      </c>
      <c r="AB12">
        <v>1</v>
      </c>
      <c r="AC12">
        <v>1</v>
      </c>
    </row>
    <row r="13" spans="1:80">
      <c r="A13" s="9" t="s">
        <v>1368</v>
      </c>
      <c r="B13" s="24" t="s">
        <v>17</v>
      </c>
      <c r="C13" s="24" t="s">
        <v>34</v>
      </c>
      <c r="F13" s="282">
        <v>44833</v>
      </c>
      <c r="I13">
        <v>3</v>
      </c>
      <c r="J13" s="40">
        <v>0</v>
      </c>
      <c r="K13" s="40">
        <v>0</v>
      </c>
      <c r="L13" s="40">
        <v>0</v>
      </c>
      <c r="M13" s="40">
        <v>0</v>
      </c>
      <c r="N13" t="s">
        <v>1406</v>
      </c>
      <c r="O13">
        <v>0</v>
      </c>
      <c r="P13">
        <v>1</v>
      </c>
      <c r="Q13">
        <v>0</v>
      </c>
      <c r="U13" s="47">
        <v>3</v>
      </c>
      <c r="V13" s="172">
        <v>0</v>
      </c>
      <c r="W13" s="172">
        <v>0</v>
      </c>
      <c r="X13" s="172">
        <v>0</v>
      </c>
      <c r="Y13" s="172">
        <v>0</v>
      </c>
      <c r="Z13" t="s">
        <v>1384</v>
      </c>
      <c r="AA13">
        <v>2</v>
      </c>
      <c r="AB13">
        <v>2</v>
      </c>
      <c r="AC13">
        <v>1</v>
      </c>
    </row>
    <row r="14" spans="1:80">
      <c r="A14" s="9" t="s">
        <v>1369</v>
      </c>
      <c r="B14" s="24" t="s">
        <v>17</v>
      </c>
      <c r="C14" s="24" t="s">
        <v>34</v>
      </c>
      <c r="F14" s="282">
        <v>44833</v>
      </c>
      <c r="I14">
        <v>20</v>
      </c>
      <c r="J14" s="40">
        <v>0</v>
      </c>
      <c r="K14" s="40">
        <v>0</v>
      </c>
      <c r="L14" s="40">
        <v>0</v>
      </c>
      <c r="M14" s="40">
        <v>1</v>
      </c>
      <c r="N14" t="s">
        <v>1407</v>
      </c>
      <c r="O14">
        <v>2</v>
      </c>
      <c r="P14">
        <v>3</v>
      </c>
      <c r="Q14">
        <v>2</v>
      </c>
      <c r="U14" s="47">
        <v>20</v>
      </c>
      <c r="V14" s="172">
        <v>0</v>
      </c>
      <c r="W14" s="172">
        <v>0</v>
      </c>
      <c r="X14" s="172">
        <v>0</v>
      </c>
      <c r="Y14" s="172">
        <v>1</v>
      </c>
      <c r="Z14" t="s">
        <v>1385</v>
      </c>
      <c r="AA14">
        <v>1</v>
      </c>
      <c r="AB14">
        <v>1</v>
      </c>
      <c r="AC14">
        <v>1</v>
      </c>
    </row>
    <row r="15" spans="1:80">
      <c r="A15" s="9" t="s">
        <v>1370</v>
      </c>
      <c r="B15" s="24" t="s">
        <v>17</v>
      </c>
      <c r="C15" s="24" t="s">
        <v>34</v>
      </c>
      <c r="F15" s="282">
        <v>44833</v>
      </c>
      <c r="I15">
        <v>3</v>
      </c>
      <c r="J15" s="40">
        <v>0</v>
      </c>
      <c r="K15" s="40">
        <v>0</v>
      </c>
      <c r="L15" s="40">
        <v>0</v>
      </c>
      <c r="M15" s="40">
        <v>0</v>
      </c>
      <c r="N15" t="s">
        <v>1408</v>
      </c>
      <c r="O15">
        <v>2</v>
      </c>
      <c r="P15">
        <v>3</v>
      </c>
      <c r="Q15">
        <v>1</v>
      </c>
      <c r="U15" s="47">
        <v>5</v>
      </c>
      <c r="V15" s="172">
        <v>0</v>
      </c>
      <c r="W15" s="172">
        <v>0</v>
      </c>
      <c r="X15" s="172">
        <v>0</v>
      </c>
      <c r="Y15" s="47">
        <v>0</v>
      </c>
      <c r="Z15" t="s">
        <v>1386</v>
      </c>
      <c r="AA15">
        <v>2</v>
      </c>
      <c r="AB15">
        <v>3</v>
      </c>
      <c r="AC15">
        <v>2</v>
      </c>
    </row>
    <row r="16" spans="1:80">
      <c r="A16" s="9" t="s">
        <v>1371</v>
      </c>
      <c r="B16" s="24" t="s">
        <v>17</v>
      </c>
      <c r="C16" s="24" t="s">
        <v>34</v>
      </c>
      <c r="F16" s="282">
        <v>44833</v>
      </c>
      <c r="I16">
        <v>3</v>
      </c>
      <c r="J16" s="40">
        <v>0</v>
      </c>
      <c r="K16" s="40">
        <v>0</v>
      </c>
      <c r="L16" s="40">
        <v>0</v>
      </c>
      <c r="M16" s="40">
        <v>0</v>
      </c>
      <c r="N16" t="s">
        <v>1409</v>
      </c>
      <c r="O16">
        <v>0</v>
      </c>
      <c r="P16">
        <v>1</v>
      </c>
      <c r="Q16">
        <v>0</v>
      </c>
      <c r="U16" s="47">
        <v>4</v>
      </c>
      <c r="V16" s="172">
        <v>0</v>
      </c>
      <c r="W16" s="172">
        <v>0</v>
      </c>
      <c r="X16" s="172">
        <v>0</v>
      </c>
      <c r="Y16" s="47">
        <v>0</v>
      </c>
      <c r="Z16" t="s">
        <v>1387</v>
      </c>
      <c r="AA16">
        <v>0</v>
      </c>
      <c r="AB16">
        <v>1</v>
      </c>
      <c r="AC16">
        <v>1</v>
      </c>
    </row>
    <row r="17" spans="1:29">
      <c r="A17" s="13" t="s">
        <v>1372</v>
      </c>
      <c r="B17" s="24" t="s">
        <v>41</v>
      </c>
      <c r="C17" s="24" t="s">
        <v>34</v>
      </c>
      <c r="E17" s="282">
        <v>44791</v>
      </c>
      <c r="I17" s="40">
        <v>8</v>
      </c>
      <c r="J17" s="40">
        <v>0</v>
      </c>
      <c r="K17" s="40">
        <v>1</v>
      </c>
      <c r="L17" s="40">
        <v>0</v>
      </c>
      <c r="M17" s="40">
        <v>0</v>
      </c>
      <c r="N17" s="24" t="s">
        <v>1410</v>
      </c>
      <c r="O17">
        <v>0</v>
      </c>
      <c r="P17">
        <v>1</v>
      </c>
      <c r="Q17">
        <v>0</v>
      </c>
      <c r="U17" s="47">
        <v>4</v>
      </c>
      <c r="V17" s="172">
        <v>0</v>
      </c>
      <c r="W17" s="172">
        <v>0</v>
      </c>
      <c r="X17" s="172">
        <v>0</v>
      </c>
      <c r="Y17" s="47">
        <v>0</v>
      </c>
      <c r="Z17" t="s">
        <v>1388</v>
      </c>
      <c r="AA17">
        <v>3</v>
      </c>
      <c r="AB17">
        <v>3</v>
      </c>
      <c r="AC17">
        <v>1</v>
      </c>
    </row>
    <row r="18" spans="1:29">
      <c r="A18" s="9" t="s">
        <v>40</v>
      </c>
      <c r="B18" t="s">
        <v>41</v>
      </c>
      <c r="C18" s="24" t="s">
        <v>34</v>
      </c>
      <c r="E18" s="282">
        <v>44791</v>
      </c>
      <c r="I18" s="40">
        <v>3</v>
      </c>
      <c r="J18" s="40">
        <v>0</v>
      </c>
      <c r="K18" s="40">
        <v>0</v>
      </c>
      <c r="L18" s="40">
        <v>0</v>
      </c>
      <c r="M18" s="40">
        <v>0</v>
      </c>
      <c r="N18" s="24" t="s">
        <v>1411</v>
      </c>
      <c r="O18">
        <v>0</v>
      </c>
      <c r="P18">
        <v>1</v>
      </c>
      <c r="Q18">
        <v>0</v>
      </c>
      <c r="U18" s="47">
        <v>4</v>
      </c>
      <c r="V18" s="172">
        <v>0</v>
      </c>
      <c r="W18" s="172">
        <v>0</v>
      </c>
      <c r="X18" s="172">
        <v>0</v>
      </c>
      <c r="Y18" s="47">
        <v>0</v>
      </c>
      <c r="Z18" t="s">
        <v>1389</v>
      </c>
      <c r="AA18">
        <v>1</v>
      </c>
      <c r="AB18">
        <v>1</v>
      </c>
      <c r="AC18">
        <v>1</v>
      </c>
    </row>
    <row r="19" spans="1:29">
      <c r="A19" s="13" t="s">
        <v>43</v>
      </c>
      <c r="B19" t="s">
        <v>41</v>
      </c>
      <c r="C19" s="24" t="s">
        <v>34</v>
      </c>
      <c r="E19" s="282">
        <v>44791</v>
      </c>
      <c r="I19" s="40">
        <v>5</v>
      </c>
      <c r="J19" s="40">
        <v>0</v>
      </c>
      <c r="K19" s="40">
        <v>0</v>
      </c>
      <c r="L19" s="40">
        <v>0</v>
      </c>
      <c r="M19" s="40">
        <v>0</v>
      </c>
      <c r="N19" s="24" t="s">
        <v>1412</v>
      </c>
      <c r="O19">
        <v>0</v>
      </c>
      <c r="P19">
        <v>1</v>
      </c>
      <c r="Q19">
        <v>0</v>
      </c>
      <c r="U19" s="47">
        <v>2</v>
      </c>
      <c r="V19" s="172">
        <v>0</v>
      </c>
      <c r="W19" s="172">
        <v>0</v>
      </c>
      <c r="X19" s="172">
        <v>0</v>
      </c>
      <c r="Y19" s="172">
        <v>0</v>
      </c>
      <c r="Z19" t="s">
        <v>1390</v>
      </c>
      <c r="AA19">
        <v>2</v>
      </c>
      <c r="AB19">
        <v>1</v>
      </c>
      <c r="AC19">
        <v>1</v>
      </c>
    </row>
    <row r="20" spans="1:29">
      <c r="A20" s="9" t="s">
        <v>64</v>
      </c>
      <c r="B20" t="s">
        <v>17</v>
      </c>
      <c r="C20" s="24" t="s">
        <v>34</v>
      </c>
      <c r="E20" s="282">
        <v>44826</v>
      </c>
      <c r="I20" s="40">
        <v>4</v>
      </c>
      <c r="J20" s="40">
        <v>0</v>
      </c>
      <c r="K20" s="40">
        <v>0</v>
      </c>
      <c r="L20" s="40">
        <v>0</v>
      </c>
      <c r="M20" s="40">
        <v>0</v>
      </c>
      <c r="N20" t="s">
        <v>1413</v>
      </c>
      <c r="O20">
        <v>0</v>
      </c>
      <c r="P20">
        <v>1</v>
      </c>
      <c r="Q20">
        <v>0</v>
      </c>
      <c r="U20" s="47">
        <v>13</v>
      </c>
      <c r="V20" s="172">
        <v>0</v>
      </c>
      <c r="W20" s="172">
        <v>0</v>
      </c>
      <c r="X20" s="172">
        <v>0</v>
      </c>
      <c r="Y20" s="172">
        <v>1</v>
      </c>
      <c r="Z20" s="40" t="s">
        <v>1391</v>
      </c>
      <c r="AA20">
        <v>1</v>
      </c>
      <c r="AB20">
        <v>1</v>
      </c>
      <c r="AC20">
        <v>2</v>
      </c>
    </row>
    <row r="21" spans="1:29">
      <c r="A21" s="13" t="s">
        <v>66</v>
      </c>
      <c r="B21" t="s">
        <v>17</v>
      </c>
      <c r="C21" s="24" t="s">
        <v>34</v>
      </c>
      <c r="E21" s="282">
        <v>44826</v>
      </c>
      <c r="I21" s="40">
        <v>4</v>
      </c>
      <c r="J21" s="40">
        <v>0</v>
      </c>
      <c r="K21" s="40">
        <v>0</v>
      </c>
      <c r="L21" s="40">
        <v>0</v>
      </c>
      <c r="M21" s="40">
        <v>0</v>
      </c>
      <c r="N21" s="24" t="s">
        <v>1414</v>
      </c>
      <c r="O21">
        <v>2</v>
      </c>
      <c r="P21">
        <v>3</v>
      </c>
      <c r="Q21">
        <v>2</v>
      </c>
      <c r="U21" s="47">
        <v>40</v>
      </c>
      <c r="V21" s="172">
        <v>0</v>
      </c>
      <c r="W21" s="172">
        <v>1</v>
      </c>
      <c r="X21" s="172">
        <v>0</v>
      </c>
      <c r="Y21" s="172">
        <v>1</v>
      </c>
      <c r="Z21" s="89" t="s">
        <v>1392</v>
      </c>
      <c r="AA21">
        <v>2</v>
      </c>
      <c r="AB21">
        <v>2</v>
      </c>
      <c r="AC21">
        <v>1</v>
      </c>
    </row>
    <row r="22" spans="1:29">
      <c r="A22" s="13" t="s">
        <v>53</v>
      </c>
      <c r="B22" t="s">
        <v>17</v>
      </c>
      <c r="C22" s="24" t="s">
        <v>34</v>
      </c>
      <c r="E22" s="282">
        <v>44826</v>
      </c>
      <c r="I22" s="40">
        <v>30</v>
      </c>
      <c r="J22" s="40">
        <v>0</v>
      </c>
      <c r="K22" s="40">
        <v>0</v>
      </c>
      <c r="L22" s="40">
        <v>0</v>
      </c>
      <c r="M22" s="40">
        <v>2</v>
      </c>
      <c r="N22" s="24" t="s">
        <v>1415</v>
      </c>
      <c r="O22">
        <v>0</v>
      </c>
      <c r="P22">
        <v>1</v>
      </c>
      <c r="Q22">
        <v>0</v>
      </c>
      <c r="U22" s="172">
        <v>11</v>
      </c>
      <c r="V22" s="172">
        <v>0</v>
      </c>
      <c r="W22" s="172">
        <v>0</v>
      </c>
      <c r="X22" s="172">
        <v>0</v>
      </c>
      <c r="Y22" s="172">
        <v>1</v>
      </c>
      <c r="Z22" s="89" t="s">
        <v>1393</v>
      </c>
      <c r="AA22" s="24">
        <v>1</v>
      </c>
      <c r="AB22" s="24">
        <v>1</v>
      </c>
      <c r="AC22">
        <v>1</v>
      </c>
    </row>
    <row r="23" spans="1:29">
      <c r="A23" s="13" t="s">
        <v>55</v>
      </c>
      <c r="B23" t="s">
        <v>17</v>
      </c>
      <c r="C23" s="24" t="s">
        <v>34</v>
      </c>
      <c r="E23" s="282">
        <v>44826</v>
      </c>
      <c r="I23" s="40">
        <v>2</v>
      </c>
      <c r="J23" s="40">
        <v>0</v>
      </c>
      <c r="K23" s="40">
        <v>0</v>
      </c>
      <c r="L23" s="40">
        <v>0</v>
      </c>
      <c r="M23" s="40">
        <v>0</v>
      </c>
      <c r="N23" s="24" t="s">
        <v>1416</v>
      </c>
      <c r="O23">
        <v>1</v>
      </c>
      <c r="P23">
        <v>1</v>
      </c>
      <c r="Q23">
        <v>1</v>
      </c>
      <c r="U23" s="172">
        <v>2</v>
      </c>
      <c r="V23" s="172">
        <v>0</v>
      </c>
      <c r="W23" s="172">
        <v>0</v>
      </c>
      <c r="X23" s="172">
        <v>0</v>
      </c>
      <c r="Y23" s="172">
        <v>0</v>
      </c>
      <c r="Z23" s="89" t="s">
        <v>1394</v>
      </c>
      <c r="AA23" s="24">
        <v>2</v>
      </c>
      <c r="AB23" s="24">
        <v>3</v>
      </c>
      <c r="AC23">
        <v>2</v>
      </c>
    </row>
    <row r="24" spans="1:29">
      <c r="A24" s="13" t="s">
        <v>1373</v>
      </c>
      <c r="B24" s="24" t="s">
        <v>17</v>
      </c>
      <c r="C24" s="24" t="s">
        <v>34</v>
      </c>
      <c r="I24" s="40">
        <v>3</v>
      </c>
      <c r="J24" s="40">
        <v>0</v>
      </c>
      <c r="K24" s="40">
        <v>0</v>
      </c>
      <c r="L24" s="40">
        <v>0</v>
      </c>
      <c r="M24" s="40">
        <v>0</v>
      </c>
      <c r="N24" s="24" t="s">
        <v>1417</v>
      </c>
      <c r="O24">
        <v>0</v>
      </c>
      <c r="P24">
        <v>1</v>
      </c>
      <c r="Q24">
        <v>0</v>
      </c>
      <c r="U24" s="172">
        <v>11</v>
      </c>
      <c r="V24" s="172">
        <v>1</v>
      </c>
      <c r="W24" s="172">
        <v>1</v>
      </c>
      <c r="X24" s="172">
        <v>0</v>
      </c>
      <c r="Y24" s="172">
        <v>0</v>
      </c>
      <c r="Z24" s="89" t="s">
        <v>1395</v>
      </c>
      <c r="AA24" s="24">
        <v>1</v>
      </c>
      <c r="AB24" s="24">
        <v>1</v>
      </c>
      <c r="AC24">
        <v>1</v>
      </c>
    </row>
    <row r="25" spans="1:29">
      <c r="A25" s="13" t="s">
        <v>1374</v>
      </c>
      <c r="B25" s="24" t="s">
        <v>17</v>
      </c>
      <c r="C25" s="24" t="s">
        <v>34</v>
      </c>
      <c r="I25" s="40">
        <v>11</v>
      </c>
      <c r="J25" s="40">
        <v>1</v>
      </c>
      <c r="K25" s="40">
        <v>1</v>
      </c>
      <c r="L25" s="40">
        <v>0</v>
      </c>
      <c r="M25" s="40">
        <v>0</v>
      </c>
      <c r="N25" s="186" t="s">
        <v>1418</v>
      </c>
      <c r="O25">
        <v>2</v>
      </c>
      <c r="P25">
        <v>3</v>
      </c>
      <c r="Q25">
        <v>1</v>
      </c>
      <c r="U25" s="172">
        <v>5</v>
      </c>
      <c r="V25" s="172">
        <v>0</v>
      </c>
      <c r="W25" s="172">
        <v>0</v>
      </c>
      <c r="X25" s="172">
        <v>0</v>
      </c>
      <c r="Y25" s="172">
        <v>1</v>
      </c>
      <c r="Z25" s="89" t="s">
        <v>1396</v>
      </c>
      <c r="AA25" s="89">
        <v>1</v>
      </c>
      <c r="AB25" s="89">
        <v>1</v>
      </c>
      <c r="AC25" s="89">
        <v>1</v>
      </c>
    </row>
    <row r="26" spans="1:29">
      <c r="C26" s="24"/>
    </row>
    <row r="27" spans="1:29">
      <c r="C27" s="24"/>
    </row>
    <row r="28" spans="1:29">
      <c r="C28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Data_WT</vt:lpstr>
      <vt:lpstr>Data_CB1</vt:lpstr>
      <vt:lpstr>Data_D2</vt:lpstr>
      <vt:lpstr>Data_Canula_AM251</vt:lpstr>
      <vt:lpstr>Data_Canula_AP5</vt:lpstr>
      <vt:lpstr>Data_nSTA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2026-06-15T14:32:15Z</dcterms:created>
  <dcterms:modified xsi:type="dcterms:W3CDTF">2026-06-15T18:34:52Z</dcterms:modified>
</cp:coreProperties>
</file>